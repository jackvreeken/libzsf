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dev\libzsf\wrappers\excel\"/>
    </mc:Choice>
  </mc:AlternateContent>
  <xr:revisionPtr revIDLastSave="0" documentId="13_ncr:1_{EE21B8F8-0EE5-43BF-AEB3-18A6D043E19D}" xr6:coauthVersionLast="44" xr6:coauthVersionMax="44" xr10:uidLastSave="{00000000-0000-0000-0000-000000000000}"/>
  <bookViews>
    <workbookView xWindow="-120" yWindow="-120" windowWidth="51840" windowHeight="21240" xr2:uid="{00000000-000D-0000-FFFF-FFFF00000000}"/>
  </bookViews>
  <sheets>
    <sheet name="Steady" sheetId="1" r:id="rId1"/>
    <sheet name="Phase" sheetId="2" r:id="rId2"/>
  </sheets>
  <functionGroups builtInGroupCount="19"/>
  <externalReferences>
    <externalReference r:id="rId3"/>
  </externalReferences>
  <definedNames>
    <definedName name="A">'[1]Enkele berekening'!$B$7</definedName>
    <definedName name="B">'[1]Enkele berekening'!$B$8</definedName>
    <definedName name="CE">'[1]Enkele berekening'!$B$9</definedName>
    <definedName name="rho_0">'[1]Enkele berekening'!$B$10</definedName>
    <definedName name="S">'[1]Enkele berekening'!$B$5</definedName>
    <definedName name="t">'[1]Enkele berekening'!$B$4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1" l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H5" i="1" l="1"/>
  <c r="H6" i="1"/>
  <c r="H7" i="1"/>
  <c r="H8" i="1"/>
  <c r="H9" i="1"/>
  <c r="H10" i="1"/>
  <c r="H11" i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A6" i="2" l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5" i="2"/>
  <c r="L5" i="1" l="1"/>
  <c r="L6" i="1" s="1"/>
  <c r="L7" i="1" s="1"/>
  <c r="L8" i="1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L9" i="1" l="1"/>
  <c r="L10" i="1" s="1"/>
  <c r="L11" i="1" s="1"/>
  <c r="L20" i="1"/>
  <c r="L21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</calcChain>
</file>

<file path=xl/sharedStrings.xml><?xml version="1.0" encoding="utf-8"?>
<sst xmlns="http://schemas.openxmlformats.org/spreadsheetml/2006/main" count="327" uniqueCount="86">
  <si>
    <t>Boundary Conditions</t>
  </si>
  <si>
    <t>Geometry</t>
  </si>
  <si>
    <t>Operation</t>
  </si>
  <si>
    <t>Measures</t>
  </si>
  <si>
    <t>Essential Output</t>
  </si>
  <si>
    <t>Salt Transport Characteristics</t>
  </si>
  <si>
    <t>Salinity in Lock Chamber</t>
  </si>
  <si>
    <t>Transported Salt Mass per Phase</t>
  </si>
  <si>
    <t>m DAT</t>
  </si>
  <si>
    <t>kg/m3</t>
  </si>
  <si>
    <t>oC</t>
  </si>
  <si>
    <t>m</t>
  </si>
  <si>
    <t>-</t>
  </si>
  <si>
    <t>min</t>
  </si>
  <si>
    <t>m3</t>
  </si>
  <si>
    <t>m3/s</t>
  </si>
  <si>
    <t>kg</t>
  </si>
  <si>
    <t>kg/s</t>
  </si>
  <si>
    <t>scenario nr.</t>
  </si>
  <si>
    <t>Head Lake</t>
  </si>
  <si>
    <t>Head Sea</t>
  </si>
  <si>
    <t>Salinity Lake</t>
  </si>
  <si>
    <t>Salinity Sea</t>
  </si>
  <si>
    <t>Lock Length</t>
  </si>
  <si>
    <t>Lock Width</t>
  </si>
  <si>
    <t>Lock Bottom</t>
  </si>
  <si>
    <t># of Cycles / Day</t>
  </si>
  <si>
    <t>Time to Open Door</t>
  </si>
  <si>
    <t>Levelling Time</t>
  </si>
  <si>
    <t>Calibration Factor</t>
  </si>
  <si>
    <t>Symmetry Coefficient</t>
  </si>
  <si>
    <t>Volume Ship Up</t>
  </si>
  <si>
    <t>Volume Ship Down</t>
  </si>
  <si>
    <t>η Lake</t>
  </si>
  <si>
    <t>η Sea</t>
  </si>
  <si>
    <t>Flushing Low Tide</t>
  </si>
  <si>
    <t>Flushing High Tide</t>
  </si>
  <si>
    <t>Mass Transport to Lake</t>
  </si>
  <si>
    <t>Mass Flux to Lake</t>
  </si>
  <si>
    <t>Discharge from Lake</t>
  </si>
  <si>
    <t>Discharge to Lake</t>
  </si>
  <si>
    <t>Salinity to Lake</t>
  </si>
  <si>
    <t>Mass Transport to Sea</t>
  </si>
  <si>
    <t>Mass Flux to Sea</t>
  </si>
  <si>
    <t>Discharge from Sea</t>
  </si>
  <si>
    <t>Discharge to Sea</t>
  </si>
  <si>
    <t>Salinity to Sea</t>
  </si>
  <si>
    <t>Time per Cycle</t>
  </si>
  <si>
    <t>Time Door Open</t>
  </si>
  <si>
    <t>Time Door Lake Open</t>
  </si>
  <si>
    <t>Time Door Sea Open</t>
  </si>
  <si>
    <t>Dimensionless Door Open Time</t>
  </si>
  <si>
    <t>Z-Fraction</t>
  </si>
  <si>
    <t>Sal. Lock Phase 1</t>
  </si>
  <si>
    <t>Sal. Lock Phase 2</t>
  </si>
  <si>
    <t>Sal. Lock Phase 3</t>
  </si>
  <si>
    <t>Sal. Lock Phase 4</t>
  </si>
  <si>
    <t>MT Lake Phase 1</t>
  </si>
  <si>
    <t>MT Lake Phase 2</t>
  </si>
  <si>
    <t>MT Lake Phase 4</t>
  </si>
  <si>
    <t>MT Lake (Total)</t>
  </si>
  <si>
    <t>MT Sea Phase 2</t>
  </si>
  <si>
    <t>MT Sea Phase 3</t>
  </si>
  <si>
    <t>MT Sea Phase 4</t>
  </si>
  <si>
    <t>MT Sea (Total)</t>
  </si>
  <si>
    <t>Routine</t>
  </si>
  <si>
    <t>Steady</t>
  </si>
  <si>
    <t>Stepwise</t>
  </si>
  <si>
    <t>s</t>
  </si>
  <si>
    <t xml:space="preserve">s </t>
  </si>
  <si>
    <t>State</t>
  </si>
  <si>
    <t>Sal Lock</t>
  </si>
  <si>
    <t>Saltmass Lock</t>
  </si>
  <si>
    <t>Head Lock</t>
  </si>
  <si>
    <t>Volume Ship In Lock</t>
  </si>
  <si>
    <t>Initalize State</t>
  </si>
  <si>
    <t>Init Head Lock</t>
  </si>
  <si>
    <t>Init Sal Lock</t>
  </si>
  <si>
    <t>Transports this Phase</t>
  </si>
  <si>
    <t>Volume to Lake</t>
  </si>
  <si>
    <t>Volume from Lake</t>
  </si>
  <si>
    <t xml:space="preserve">Volume from Sea </t>
  </si>
  <si>
    <t>Volume to Sea</t>
  </si>
  <si>
    <t>Temperature Lake</t>
  </si>
  <si>
    <t>Temperature Sea</t>
  </si>
  <si>
    <t>Discharge To Lake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</si>
</sst>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 ;_ * \-#,##0.00_ ;_ * &quot;-&quot;??_ ;_ @_ "/>
    <numFmt numFmtId="165" formatCode="#,##0_ ;\-#,##0\ "/>
    <numFmt numFmtId="166" formatCode="#,##0.0_ ;\-#,##0.0\ "/>
    <numFmt numFmtId="167" formatCode="#,##0.00_ ;\-#,##0.00\ "/>
    <numFmt numFmtId="168" formatCode="0.0"/>
    <numFmt numFmtId="169" formatCode="#,##0.000_ ;\-#,##0.000\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1" fillId="0" borderId="0"/>
    <xf numFmtId="164" fontId="1" fillId="0" borderId="0"/>
    <xf numFmtId="0" fontId="1" fillId="0" borderId="0"/>
    <xf numFmtId="164" fontId="1" fillId="0" borderId="0"/>
    <xf numFmtId="0" fontId="4" fillId="0" borderId="0"/>
  </cellStyleXfs>
  <cellXfs count="80">
    <xf numFmtId="0" fontId="0" fillId="0" borderId="0" xfId="0"/>
    <xf numFmtId="165" fontId="0" fillId="0" borderId="0" xfId="1" applyNumberFormat="1" applyFont="1" applyAlignment="1">
      <alignment horizontal="center"/>
    </xf>
    <xf numFmtId="166" fontId="2" fillId="0" borderId="0" xfId="1" applyNumberFormat="1" applyFont="1" applyAlignment="1">
      <alignment horizontal="right"/>
    </xf>
    <xf numFmtId="166" fontId="2" fillId="0" borderId="0" xfId="1" applyNumberFormat="1" applyFont="1" applyAlignment="1">
      <alignment horizontal="right" textRotation="90"/>
    </xf>
    <xf numFmtId="166" fontId="2" fillId="0" borderId="2" xfId="1" applyNumberFormat="1" applyFont="1" applyBorder="1" applyAlignment="1">
      <alignment horizontal="right" textRotation="90"/>
    </xf>
    <xf numFmtId="166" fontId="2" fillId="0" borderId="2" xfId="1" applyNumberFormat="1" applyFont="1" applyBorder="1" applyAlignment="1">
      <alignment horizontal="center" textRotation="90"/>
    </xf>
    <xf numFmtId="166" fontId="2" fillId="0" borderId="5" xfId="1" applyNumberFormat="1" applyFont="1" applyBorder="1" applyAlignment="1">
      <alignment horizontal="center" textRotation="90"/>
    </xf>
    <xf numFmtId="166" fontId="2" fillId="0" borderId="6" xfId="1" applyNumberFormat="1" applyFont="1" applyBorder="1" applyAlignment="1">
      <alignment horizontal="center" textRotation="90"/>
    </xf>
    <xf numFmtId="166" fontId="2" fillId="0" borderId="7" xfId="1" applyNumberFormat="1" applyFont="1" applyBorder="1" applyAlignment="1">
      <alignment horizontal="center" textRotation="90"/>
    </xf>
    <xf numFmtId="165" fontId="2" fillId="0" borderId="6" xfId="1" applyNumberFormat="1" applyFont="1" applyBorder="1" applyAlignment="1">
      <alignment horizontal="center" textRotation="90"/>
    </xf>
    <xf numFmtId="167" fontId="3" fillId="0" borderId="5" xfId="1" applyNumberFormat="1" applyFont="1" applyBorder="1" applyAlignment="1">
      <alignment horizontal="center" textRotation="90"/>
    </xf>
    <xf numFmtId="165" fontId="2" fillId="0" borderId="0" xfId="2" applyNumberFormat="1" applyFont="1" applyAlignment="1">
      <alignment horizontal="center"/>
    </xf>
    <xf numFmtId="165" fontId="0" fillId="0" borderId="0" xfId="2" applyNumberFormat="1" applyFont="1" applyAlignment="1">
      <alignment horizontal="right"/>
    </xf>
    <xf numFmtId="166" fontId="0" fillId="0" borderId="0" xfId="2" applyNumberFormat="1" applyFont="1" applyAlignment="1">
      <alignment horizontal="right"/>
    </xf>
    <xf numFmtId="167" fontId="0" fillId="0" borderId="0" xfId="2" applyNumberFormat="1" applyFont="1" applyAlignment="1">
      <alignment horizontal="right"/>
    </xf>
    <xf numFmtId="168" fontId="0" fillId="0" borderId="0" xfId="2" applyNumberFormat="1" applyFont="1" applyAlignment="1">
      <alignment horizontal="center"/>
    </xf>
    <xf numFmtId="169" fontId="0" fillId="0" borderId="0" xfId="2" applyNumberFormat="1" applyFont="1" applyAlignment="1">
      <alignment horizontal="right"/>
    </xf>
    <xf numFmtId="168" fontId="0" fillId="2" borderId="0" xfId="2" applyNumberFormat="1" applyFont="1" applyFill="1" applyAlignment="1">
      <alignment horizontal="center"/>
    </xf>
    <xf numFmtId="0" fontId="0" fillId="0" borderId="0" xfId="0"/>
    <xf numFmtId="0" fontId="0" fillId="0" borderId="0" xfId="0" applyAlignment="1">
      <alignment horizontal="right"/>
    </xf>
    <xf numFmtId="165" fontId="5" fillId="0" borderId="9" xfId="1" applyNumberFormat="1" applyFont="1" applyBorder="1" applyAlignment="1">
      <alignment horizontal="center" vertical="top"/>
    </xf>
    <xf numFmtId="0" fontId="0" fillId="0" borderId="0" xfId="0"/>
    <xf numFmtId="0" fontId="0" fillId="0" borderId="0" xfId="0" applyAlignment="1">
      <alignment horizontal="right"/>
    </xf>
    <xf numFmtId="0" fontId="0" fillId="0" borderId="0" xfId="0"/>
    <xf numFmtId="166" fontId="2" fillId="0" borderId="4" xfId="1" applyNumberFormat="1" applyFont="1" applyBorder="1" applyAlignment="1">
      <alignment horizontal="right" textRotation="90"/>
    </xf>
    <xf numFmtId="166" fontId="2" fillId="0" borderId="12" xfId="1" applyNumberFormat="1" applyFont="1" applyBorder="1" applyAlignment="1">
      <alignment horizontal="right" textRotation="90"/>
    </xf>
    <xf numFmtId="166" fontId="2" fillId="0" borderId="6" xfId="1" applyNumberFormat="1" applyFont="1" applyBorder="1" applyAlignment="1">
      <alignment horizontal="right" textRotation="90"/>
    </xf>
    <xf numFmtId="166" fontId="2" fillId="0" borderId="0" xfId="1" applyNumberFormat="1" applyFont="1" applyFill="1" applyBorder="1" applyAlignment="1">
      <alignment horizontal="right" textRotation="90"/>
    </xf>
    <xf numFmtId="166" fontId="2" fillId="0" borderId="1" xfId="1" applyNumberFormat="1" applyFont="1" applyBorder="1" applyAlignment="1">
      <alignment horizontal="right" textRotation="90"/>
    </xf>
    <xf numFmtId="166" fontId="2" fillId="0" borderId="14" xfId="1" applyNumberFormat="1" applyFont="1" applyBorder="1" applyAlignment="1">
      <alignment horizontal="right" textRotation="90"/>
    </xf>
    <xf numFmtId="168" fontId="0" fillId="0" borderId="0" xfId="2" applyNumberFormat="1" applyFont="1" applyFill="1" applyAlignment="1">
      <alignment horizontal="center"/>
    </xf>
    <xf numFmtId="168" fontId="6" fillId="0" borderId="0" xfId="2" applyNumberFormat="1" applyFont="1" applyFill="1" applyAlignment="1">
      <alignment horizontal="center"/>
    </xf>
    <xf numFmtId="166" fontId="2" fillId="0" borderId="11" xfId="1" applyNumberFormat="1" applyFont="1" applyBorder="1" applyAlignment="1">
      <alignment horizontal="center" textRotation="90"/>
    </xf>
    <xf numFmtId="166" fontId="2" fillId="0" borderId="0" xfId="1" applyNumberFormat="1" applyFont="1" applyBorder="1" applyAlignment="1">
      <alignment horizontal="center" textRotation="90"/>
    </xf>
    <xf numFmtId="165" fontId="2" fillId="0" borderId="11" xfId="1" applyNumberFormat="1" applyFont="1" applyBorder="1" applyAlignment="1">
      <alignment horizontal="center" textRotation="90"/>
    </xf>
    <xf numFmtId="166" fontId="2" fillId="0" borderId="15" xfId="1" applyNumberFormat="1" applyFont="1" applyBorder="1" applyAlignment="1">
      <alignment horizontal="center" textRotation="90"/>
    </xf>
    <xf numFmtId="168" fontId="6" fillId="0" borderId="10" xfId="2" applyNumberFormat="1" applyFont="1" applyFill="1" applyBorder="1" applyAlignment="1">
      <alignment horizontal="center"/>
    </xf>
    <xf numFmtId="168" fontId="6" fillId="0" borderId="0" xfId="2" applyNumberFormat="1" applyFont="1" applyFill="1" applyBorder="1" applyAlignment="1">
      <alignment horizontal="center"/>
    </xf>
    <xf numFmtId="165" fontId="0" fillId="0" borderId="0" xfId="1" applyNumberFormat="1" applyFont="1" applyFill="1" applyAlignment="1">
      <alignment horizontal="center"/>
    </xf>
    <xf numFmtId="165" fontId="2" fillId="3" borderId="10" xfId="1" applyNumberFormat="1" applyFont="1" applyFill="1" applyBorder="1" applyAlignment="1">
      <alignment horizontal="center" textRotation="90"/>
    </xf>
    <xf numFmtId="165" fontId="2" fillId="3" borderId="3" xfId="1" applyNumberFormat="1" applyFont="1" applyFill="1" applyBorder="1" applyAlignment="1">
      <alignment horizontal="center" textRotation="90"/>
    </xf>
    <xf numFmtId="166" fontId="2" fillId="3" borderId="14" xfId="1" applyNumberFormat="1" applyFont="1" applyFill="1" applyBorder="1" applyAlignment="1">
      <alignment horizontal="right" textRotation="90"/>
    </xf>
    <xf numFmtId="166" fontId="2" fillId="3" borderId="2" xfId="1" applyNumberFormat="1" applyFont="1" applyFill="1" applyBorder="1" applyAlignment="1">
      <alignment horizontal="right" textRotation="90"/>
    </xf>
    <xf numFmtId="166" fontId="2" fillId="4" borderId="1" xfId="1" applyNumberFormat="1" applyFont="1" applyFill="1" applyBorder="1" applyAlignment="1">
      <alignment horizontal="center" textRotation="90"/>
    </xf>
    <xf numFmtId="166" fontId="2" fillId="4" borderId="3" xfId="1" applyNumberFormat="1" applyFont="1" applyFill="1" applyBorder="1" applyAlignment="1">
      <alignment horizontal="center" textRotation="90"/>
    </xf>
    <xf numFmtId="165" fontId="2" fillId="4" borderId="1" xfId="1" applyNumberFormat="1" applyFont="1" applyFill="1" applyBorder="1" applyAlignment="1">
      <alignment horizontal="center" textRotation="90"/>
    </xf>
    <xf numFmtId="166" fontId="2" fillId="4" borderId="4" xfId="1" applyNumberFormat="1" applyFont="1" applyFill="1" applyBorder="1" applyAlignment="1">
      <alignment horizontal="center" textRotation="90"/>
    </xf>
    <xf numFmtId="165" fontId="2" fillId="4" borderId="3" xfId="1" applyNumberFormat="1" applyFont="1" applyFill="1" applyBorder="1" applyAlignment="1">
      <alignment horizontal="center" textRotation="90"/>
    </xf>
    <xf numFmtId="165" fontId="2" fillId="4" borderId="4" xfId="1" applyNumberFormat="1" applyFont="1" applyFill="1" applyBorder="1" applyAlignment="1">
      <alignment horizontal="center" textRotation="90"/>
    </xf>
    <xf numFmtId="167" fontId="3" fillId="4" borderId="1" xfId="1" quotePrefix="1" applyNumberFormat="1" applyFont="1" applyFill="1" applyBorder="1" applyAlignment="1">
      <alignment horizontal="center" textRotation="90"/>
    </xf>
    <xf numFmtId="167" fontId="3" fillId="4" borderId="3" xfId="1" quotePrefix="1" applyNumberFormat="1" applyFont="1" applyFill="1" applyBorder="1" applyAlignment="1">
      <alignment horizontal="center" textRotation="90"/>
    </xf>
    <xf numFmtId="166" fontId="2" fillId="0" borderId="3" xfId="1" applyNumberFormat="1" applyFont="1" applyFill="1" applyBorder="1" applyAlignment="1">
      <alignment horizontal="center" textRotation="90"/>
    </xf>
    <xf numFmtId="166" fontId="2" fillId="5" borderId="3" xfId="1" applyNumberFormat="1" applyFont="1" applyFill="1" applyBorder="1" applyAlignment="1">
      <alignment horizontal="center" textRotation="90"/>
    </xf>
    <xf numFmtId="166" fontId="2" fillId="4" borderId="2" xfId="1" applyNumberFormat="1" applyFont="1" applyFill="1" applyBorder="1" applyAlignment="1">
      <alignment horizontal="right" textRotation="90"/>
    </xf>
    <xf numFmtId="166" fontId="2" fillId="4" borderId="2" xfId="1" applyNumberFormat="1" applyFont="1" applyFill="1" applyBorder="1" applyAlignment="1">
      <alignment horizontal="center" textRotation="90"/>
    </xf>
    <xf numFmtId="166" fontId="2" fillId="4" borderId="1" xfId="1" applyNumberFormat="1" applyFont="1" applyFill="1" applyBorder="1" applyAlignment="1">
      <alignment horizontal="right" textRotation="90"/>
    </xf>
    <xf numFmtId="1" fontId="0" fillId="0" borderId="13" xfId="2" applyNumberFormat="1" applyFont="1" applyBorder="1" applyAlignment="1">
      <alignment horizontal="right"/>
    </xf>
    <xf numFmtId="1" fontId="0" fillId="0" borderId="0" xfId="2" applyNumberFormat="1" applyFont="1" applyAlignment="1">
      <alignment horizontal="right"/>
    </xf>
    <xf numFmtId="1" fontId="0" fillId="0" borderId="0" xfId="0" applyNumberFormat="1"/>
    <xf numFmtId="1" fontId="0" fillId="0" borderId="13" xfId="0" applyNumberFormat="1" applyBorder="1" applyAlignment="1">
      <alignment horizontal="right"/>
    </xf>
    <xf numFmtId="1" fontId="0" fillId="0" borderId="0" xfId="0" applyNumberFormat="1" applyAlignment="1">
      <alignment horizontal="right"/>
    </xf>
    <xf numFmtId="168" fontId="0" fillId="0" borderId="0" xfId="0" applyNumberFormat="1"/>
    <xf numFmtId="1" fontId="2" fillId="0" borderId="2" xfId="1" applyNumberFormat="1" applyFont="1" applyBorder="1" applyAlignment="1">
      <alignment horizontal="right" textRotation="90"/>
    </xf>
    <xf numFmtId="168" fontId="2" fillId="0" borderId="2" xfId="1" applyNumberFormat="1" applyFont="1" applyBorder="1" applyAlignment="1">
      <alignment horizontal="right" textRotation="90"/>
    </xf>
    <xf numFmtId="168" fontId="1" fillId="0" borderId="0" xfId="2" applyNumberFormat="1" applyFont="1" applyBorder="1" applyAlignment="1">
      <alignment horizontal="center"/>
    </xf>
    <xf numFmtId="168" fontId="6" fillId="0" borderId="0" xfId="2" applyNumberFormat="1" applyFont="1" applyBorder="1" applyAlignment="1">
      <alignment horizontal="center"/>
    </xf>
    <xf numFmtId="168" fontId="6" fillId="2" borderId="0" xfId="2" applyNumberFormat="1" applyFont="1" applyFill="1" applyAlignment="1">
      <alignment horizontal="center"/>
    </xf>
    <xf numFmtId="166" fontId="2" fillId="3" borderId="9" xfId="1" applyNumberFormat="1" applyFont="1" applyFill="1" applyBorder="1" applyAlignment="1">
      <alignment horizontal="right" textRotation="90"/>
    </xf>
    <xf numFmtId="166" fontId="2" fillId="0" borderId="9" xfId="1" applyNumberFormat="1" applyFont="1" applyBorder="1" applyAlignment="1">
      <alignment horizontal="right" textRotation="90"/>
    </xf>
    <xf numFmtId="166" fontId="2" fillId="3" borderId="2" xfId="1" applyNumberFormat="1" applyFont="1" applyFill="1" applyBorder="1" applyAlignment="1">
      <alignment horizontal="center"/>
    </xf>
    <xf numFmtId="0" fontId="0" fillId="3" borderId="0" xfId="0" applyFill="1" applyAlignment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166" fontId="2" fillId="4" borderId="1" xfId="1" applyNumberFormat="1" applyFont="1" applyFill="1" applyBorder="1" applyAlignment="1">
      <alignment horizontal="center"/>
    </xf>
    <xf numFmtId="0" fontId="0" fillId="4" borderId="0" xfId="0" applyFill="1"/>
    <xf numFmtId="166" fontId="2" fillId="4" borderId="2" xfId="1" applyNumberFormat="1" applyFont="1" applyFill="1" applyBorder="1" applyAlignment="1">
      <alignment horizontal="center"/>
    </xf>
    <xf numFmtId="0" fontId="0" fillId="4" borderId="0" xfId="0" applyFill="1" applyAlignment="1">
      <alignment horizontal="right"/>
    </xf>
    <xf numFmtId="0" fontId="2" fillId="4" borderId="1" xfId="0" applyFont="1" applyFill="1" applyBorder="1" applyAlignment="1">
      <alignment horizontal="center"/>
    </xf>
    <xf numFmtId="166" fontId="2" fillId="4" borderId="8" xfId="1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</cellXfs>
  <cellStyles count="6">
    <cellStyle name="Comma" xfId="1" builtinId="3"/>
    <cellStyle name="Comma 2" xfId="3" xr:uid="{00000000-0005-0000-0000-000003000000}"/>
    <cellStyle name="Comma 3" xfId="2" xr:uid="{00000000-0005-0000-0000-000002000000}"/>
    <cellStyle name="Comma 4" xfId="4" xr:uid="{00000000-0005-0000-0000-000004000000}"/>
    <cellStyle name="Normal" xfId="0" builtinId="0"/>
    <cellStyle name="Normal 2" xfId="5" xr:uid="{00000000-0005-0000-0000-000005000000}"/>
  </cellStyles>
  <dxfs count="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28575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5.%20Actueel\05.07.%2011200741.003%20Zoutindringing%20-%20NKvdT\2018\03%20Code%20en%20berekeningen\ppt2rh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kele berekening"/>
      <sheetName val="Scatting d-rho obv d-S"/>
      <sheetName val="getransponeerd"/>
    </sheetNames>
    <sheetDataSet>
      <sheetData sheetId="0">
        <row r="4">
          <cell r="B4">
            <v>15</v>
          </cell>
        </row>
        <row r="5">
          <cell r="B5">
            <v>5</v>
          </cell>
        </row>
        <row r="7">
          <cell r="B7">
            <v>0.78339905343749994</v>
          </cell>
        </row>
        <row r="8">
          <cell r="B8">
            <v>-4.5628990000000005E-3</v>
          </cell>
        </row>
        <row r="9">
          <cell r="B9">
            <v>4.8314000000000001E-4</v>
          </cell>
        </row>
        <row r="10">
          <cell r="B10">
            <v>999.10157456273737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T36"/>
  <sheetViews>
    <sheetView tabSelected="1" zoomScale="85" zoomScaleNormal="85" workbookViewId="0">
      <pane xSplit="1" ySplit="3" topLeftCell="B4" activePane="bottomRight" state="frozen"/>
      <selection activeCell="AV25" sqref="AV25"/>
      <selection pane="topRight" activeCell="AV25" sqref="AV25"/>
      <selection pane="bottomLeft" activeCell="AV25" sqref="AV25"/>
      <selection pane="bottomRight" activeCell="A45" sqref="A45"/>
    </sheetView>
  </sheetViews>
  <sheetFormatPr defaultColWidth="8.7109375" defaultRowHeight="15" x14ac:dyDescent="0.25"/>
  <cols>
    <col min="1" max="1" width="18.7109375" customWidth="1"/>
    <col min="2" max="2" width="10.140625" style="21" customWidth="1"/>
    <col min="7" max="7" width="8.7109375" style="23"/>
    <col min="19" max="22" width="8.7109375" style="21"/>
    <col min="24" max="24" width="8.7109375" style="18" customWidth="1"/>
    <col min="27" max="27" width="5.42578125" style="18" customWidth="1"/>
    <col min="28" max="28" width="8.7109375" style="19" customWidth="1"/>
    <col min="29" max="29" width="10.7109375" style="19" customWidth="1"/>
    <col min="30" max="33" width="8.7109375" style="19" customWidth="1"/>
    <col min="34" max="34" width="10.7109375" style="19" customWidth="1"/>
    <col min="35" max="42" width="8.7109375" style="19" customWidth="1"/>
    <col min="43" max="43" width="9.28515625" style="19" customWidth="1"/>
    <col min="44" max="44" width="11.5703125" style="19" customWidth="1"/>
    <col min="45" max="45" width="8.7109375" style="18" customWidth="1"/>
    <col min="46" max="48" width="8.7109375" style="19" customWidth="1"/>
    <col min="49" max="49" width="9.5703125" style="19" customWidth="1"/>
    <col min="50" max="50" width="10.28515625" style="19" bestFit="1" customWidth="1"/>
    <col min="51" max="51" width="8.7109375" style="19" customWidth="1"/>
    <col min="52" max="52" width="12.7109375" style="19" bestFit="1" customWidth="1"/>
    <col min="53" max="53" width="8.7109375" style="19" customWidth="1"/>
    <col min="54" max="54" width="12.28515625" style="19" bestFit="1" customWidth="1"/>
    <col min="55" max="56" width="12.7109375" style="19" bestFit="1" customWidth="1"/>
    <col min="57" max="57" width="12.7109375" style="59" customWidth="1"/>
    <col min="58" max="61" width="12.7109375" style="60" customWidth="1"/>
    <col min="62" max="62" width="12.7109375" style="58" customWidth="1"/>
    <col min="63" max="63" width="8.85546875" style="61" bestFit="1" customWidth="1"/>
    <col min="64" max="64" width="11.42578125" style="58" bestFit="1" customWidth="1"/>
    <col min="65" max="65" width="8.85546875" style="61" bestFit="1" customWidth="1"/>
    <col min="66" max="66" width="8.85546875" style="58" bestFit="1" customWidth="1"/>
  </cols>
  <sheetData>
    <row r="1" spans="1:72" ht="14.45" customHeight="1" x14ac:dyDescent="0.25">
      <c r="A1" s="1"/>
      <c r="B1" s="1"/>
      <c r="C1" s="73" t="s">
        <v>0</v>
      </c>
      <c r="D1" s="74"/>
      <c r="E1" s="74"/>
      <c r="F1" s="74"/>
      <c r="G1" s="74"/>
      <c r="H1" s="74"/>
      <c r="I1" s="73" t="s">
        <v>1</v>
      </c>
      <c r="J1" s="74"/>
      <c r="K1" s="74"/>
      <c r="L1" s="77" t="s">
        <v>2</v>
      </c>
      <c r="M1" s="74"/>
      <c r="N1" s="74"/>
      <c r="O1" s="74"/>
      <c r="P1" s="74"/>
      <c r="Q1" s="74"/>
      <c r="R1" s="74"/>
      <c r="S1" s="79" t="s">
        <v>67</v>
      </c>
      <c r="T1" s="72"/>
      <c r="U1" s="71" t="s">
        <v>75</v>
      </c>
      <c r="V1" s="72"/>
      <c r="W1" s="78" t="s">
        <v>3</v>
      </c>
      <c r="X1" s="74"/>
      <c r="Y1" s="74"/>
      <c r="Z1" s="74"/>
      <c r="AA1" s="23"/>
      <c r="AB1" s="2"/>
      <c r="AC1" s="73" t="s">
        <v>4</v>
      </c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3" t="s">
        <v>5</v>
      </c>
      <c r="AR1" s="76"/>
      <c r="AS1" s="75" t="s">
        <v>6</v>
      </c>
      <c r="AT1" s="76"/>
      <c r="AU1" s="76"/>
      <c r="AV1" s="76"/>
      <c r="AW1" s="75" t="s">
        <v>7</v>
      </c>
      <c r="AX1" s="76"/>
      <c r="AY1" s="76"/>
      <c r="AZ1" s="76"/>
      <c r="BA1" s="76"/>
      <c r="BB1" s="76"/>
      <c r="BC1" s="76"/>
      <c r="BD1" s="76"/>
      <c r="BE1" s="71" t="s">
        <v>78</v>
      </c>
      <c r="BF1" s="79"/>
      <c r="BG1" s="79"/>
      <c r="BH1" s="79"/>
      <c r="BI1" s="79"/>
      <c r="BJ1" s="79"/>
      <c r="BK1" s="79"/>
      <c r="BL1" s="79"/>
      <c r="BM1" s="79"/>
      <c r="BN1" s="79"/>
      <c r="BO1" s="79"/>
      <c r="BP1" s="72"/>
      <c r="BQ1" s="69" t="s">
        <v>70</v>
      </c>
      <c r="BR1" s="70"/>
      <c r="BS1" s="70"/>
      <c r="BT1" s="70"/>
    </row>
    <row r="2" spans="1:72" ht="49.9" customHeight="1" x14ac:dyDescent="0.25">
      <c r="A2" s="1"/>
      <c r="B2" s="38"/>
      <c r="C2" s="43" t="s">
        <v>8</v>
      </c>
      <c r="D2" s="44" t="s">
        <v>8</v>
      </c>
      <c r="E2" s="44" t="s">
        <v>9</v>
      </c>
      <c r="F2" s="44" t="s">
        <v>9</v>
      </c>
      <c r="G2" s="44" t="s">
        <v>10</v>
      </c>
      <c r="H2" s="44" t="s">
        <v>10</v>
      </c>
      <c r="I2" s="45" t="s">
        <v>11</v>
      </c>
      <c r="J2" s="44" t="s">
        <v>11</v>
      </c>
      <c r="K2" s="46" t="s">
        <v>8</v>
      </c>
      <c r="L2" s="52" t="s">
        <v>12</v>
      </c>
      <c r="M2" s="51" t="s">
        <v>68</v>
      </c>
      <c r="N2" s="44" t="s">
        <v>68</v>
      </c>
      <c r="O2" s="52" t="s">
        <v>12</v>
      </c>
      <c r="P2" s="52" t="s">
        <v>12</v>
      </c>
      <c r="Q2" s="47" t="s">
        <v>14</v>
      </c>
      <c r="R2" s="48" t="s">
        <v>14</v>
      </c>
      <c r="S2" s="39" t="s">
        <v>69</v>
      </c>
      <c r="T2" s="40" t="s">
        <v>68</v>
      </c>
      <c r="U2" s="40" t="s">
        <v>9</v>
      </c>
      <c r="V2" s="40" t="s">
        <v>8</v>
      </c>
      <c r="W2" s="49" t="s">
        <v>12</v>
      </c>
      <c r="X2" s="50" t="s">
        <v>12</v>
      </c>
      <c r="Y2" s="44" t="s">
        <v>15</v>
      </c>
      <c r="Z2" s="46" t="s">
        <v>15</v>
      </c>
      <c r="AA2" s="23"/>
      <c r="AB2" s="3"/>
      <c r="AC2" s="53" t="s">
        <v>16</v>
      </c>
      <c r="AD2" s="53" t="s">
        <v>17</v>
      </c>
      <c r="AE2" s="53" t="s">
        <v>15</v>
      </c>
      <c r="AF2" s="53" t="s">
        <v>15</v>
      </c>
      <c r="AG2" s="53" t="s">
        <v>9</v>
      </c>
      <c r="AH2" s="53" t="s">
        <v>16</v>
      </c>
      <c r="AI2" s="53" t="s">
        <v>17</v>
      </c>
      <c r="AJ2" s="53" t="s">
        <v>15</v>
      </c>
      <c r="AK2" s="53" t="s">
        <v>15</v>
      </c>
      <c r="AL2" s="53" t="s">
        <v>9</v>
      </c>
      <c r="AM2" s="53" t="s">
        <v>68</v>
      </c>
      <c r="AN2" s="53" t="s">
        <v>68</v>
      </c>
      <c r="AO2" s="53" t="s">
        <v>68</v>
      </c>
      <c r="AP2" s="53" t="s">
        <v>68</v>
      </c>
      <c r="AQ2" s="53" t="s">
        <v>12</v>
      </c>
      <c r="AR2" s="53" t="s">
        <v>12</v>
      </c>
      <c r="AS2" s="54" t="s">
        <v>9</v>
      </c>
      <c r="AT2" s="53" t="s">
        <v>9</v>
      </c>
      <c r="AU2" s="53" t="s">
        <v>9</v>
      </c>
      <c r="AV2" s="53" t="s">
        <v>9</v>
      </c>
      <c r="AW2" s="53" t="s">
        <v>16</v>
      </c>
      <c r="AX2" s="53" t="s">
        <v>16</v>
      </c>
      <c r="AY2" s="53" t="s">
        <v>16</v>
      </c>
      <c r="AZ2" s="53" t="s">
        <v>16</v>
      </c>
      <c r="BA2" s="53" t="s">
        <v>16</v>
      </c>
      <c r="BB2" s="53" t="s">
        <v>16</v>
      </c>
      <c r="BC2" s="53" t="s">
        <v>16</v>
      </c>
      <c r="BD2" s="55" t="s">
        <v>16</v>
      </c>
      <c r="BE2" s="41" t="s">
        <v>16</v>
      </c>
      <c r="BF2" s="42" t="s">
        <v>14</v>
      </c>
      <c r="BG2" s="42" t="s">
        <v>14</v>
      </c>
      <c r="BH2" s="67" t="s">
        <v>15</v>
      </c>
      <c r="BI2" s="67" t="s">
        <v>15</v>
      </c>
      <c r="BJ2" s="67" t="s">
        <v>9</v>
      </c>
      <c r="BK2" s="42" t="s">
        <v>16</v>
      </c>
      <c r="BL2" s="42" t="s">
        <v>14</v>
      </c>
      <c r="BM2" s="67" t="s">
        <v>14</v>
      </c>
      <c r="BN2" s="67" t="s">
        <v>15</v>
      </c>
      <c r="BO2" s="67" t="s">
        <v>15</v>
      </c>
      <c r="BP2" s="42" t="s">
        <v>9</v>
      </c>
      <c r="BQ2" s="42"/>
      <c r="BR2" s="42"/>
      <c r="BS2" s="42"/>
      <c r="BT2" s="42"/>
    </row>
    <row r="3" spans="1:72" ht="112.15" customHeight="1" x14ac:dyDescent="0.25">
      <c r="A3" s="5" t="s">
        <v>18</v>
      </c>
      <c r="B3" s="6" t="s">
        <v>65</v>
      </c>
      <c r="C3" s="32" t="s">
        <v>19</v>
      </c>
      <c r="D3" s="33" t="s">
        <v>20</v>
      </c>
      <c r="E3" s="33" t="s">
        <v>21</v>
      </c>
      <c r="F3" s="33" t="s">
        <v>22</v>
      </c>
      <c r="G3" s="33" t="s">
        <v>83</v>
      </c>
      <c r="H3" s="33" t="s">
        <v>84</v>
      </c>
      <c r="I3" s="34" t="s">
        <v>23</v>
      </c>
      <c r="J3" s="33" t="s">
        <v>24</v>
      </c>
      <c r="K3" s="35" t="s">
        <v>25</v>
      </c>
      <c r="L3" s="33" t="s">
        <v>26</v>
      </c>
      <c r="M3" s="7" t="s">
        <v>27</v>
      </c>
      <c r="N3" s="7" t="s">
        <v>28</v>
      </c>
      <c r="O3" s="7" t="s">
        <v>29</v>
      </c>
      <c r="P3" s="7" t="s">
        <v>30</v>
      </c>
      <c r="Q3" s="9" t="s">
        <v>31</v>
      </c>
      <c r="R3" s="9" t="s">
        <v>32</v>
      </c>
      <c r="S3" s="25" t="s">
        <v>49</v>
      </c>
      <c r="T3" s="24" t="s">
        <v>50</v>
      </c>
      <c r="U3" s="26" t="s">
        <v>77</v>
      </c>
      <c r="V3" s="27" t="s">
        <v>76</v>
      </c>
      <c r="W3" s="10" t="s">
        <v>33</v>
      </c>
      <c r="X3" s="10" t="s">
        <v>34</v>
      </c>
      <c r="Y3" s="7" t="s">
        <v>35</v>
      </c>
      <c r="Z3" s="8" t="s">
        <v>36</v>
      </c>
      <c r="AB3" s="4" t="s">
        <v>18</v>
      </c>
      <c r="AC3" s="4" t="s">
        <v>37</v>
      </c>
      <c r="AD3" s="4" t="s">
        <v>38</v>
      </c>
      <c r="AE3" s="4" t="s">
        <v>39</v>
      </c>
      <c r="AF3" s="4" t="s">
        <v>40</v>
      </c>
      <c r="AG3" s="4" t="s">
        <v>41</v>
      </c>
      <c r="AH3" s="4" t="s">
        <v>42</v>
      </c>
      <c r="AI3" s="4" t="s">
        <v>43</v>
      </c>
      <c r="AJ3" s="4" t="s">
        <v>44</v>
      </c>
      <c r="AK3" s="4" t="s">
        <v>45</v>
      </c>
      <c r="AL3" s="4" t="s">
        <v>46</v>
      </c>
      <c r="AM3" s="4" t="s">
        <v>47</v>
      </c>
      <c r="AN3" s="4" t="s">
        <v>48</v>
      </c>
      <c r="AO3" s="4" t="s">
        <v>49</v>
      </c>
      <c r="AP3" s="4" t="s">
        <v>50</v>
      </c>
      <c r="AQ3" s="4" t="s">
        <v>51</v>
      </c>
      <c r="AR3" s="4" t="s">
        <v>52</v>
      </c>
      <c r="AS3" s="5" t="s">
        <v>53</v>
      </c>
      <c r="AT3" s="5" t="s">
        <v>54</v>
      </c>
      <c r="AU3" s="5" t="s">
        <v>55</v>
      </c>
      <c r="AV3" s="5" t="s">
        <v>56</v>
      </c>
      <c r="AW3" s="4" t="s">
        <v>57</v>
      </c>
      <c r="AX3" s="4" t="s">
        <v>58</v>
      </c>
      <c r="AY3" s="4" t="s">
        <v>59</v>
      </c>
      <c r="AZ3" s="4" t="s">
        <v>60</v>
      </c>
      <c r="BA3" s="4" t="s">
        <v>61</v>
      </c>
      <c r="BB3" s="4" t="s">
        <v>62</v>
      </c>
      <c r="BC3" s="4" t="s">
        <v>63</v>
      </c>
      <c r="BD3" s="28" t="s">
        <v>64</v>
      </c>
      <c r="BE3" s="29" t="s">
        <v>37</v>
      </c>
      <c r="BF3" s="4" t="s">
        <v>80</v>
      </c>
      <c r="BG3" s="4" t="s">
        <v>79</v>
      </c>
      <c r="BH3" s="68" t="s">
        <v>39</v>
      </c>
      <c r="BI3" s="68" t="s">
        <v>85</v>
      </c>
      <c r="BJ3" s="68" t="s">
        <v>41</v>
      </c>
      <c r="BK3" s="4" t="s">
        <v>42</v>
      </c>
      <c r="BL3" s="4" t="s">
        <v>81</v>
      </c>
      <c r="BM3" s="68" t="s">
        <v>82</v>
      </c>
      <c r="BN3" s="68" t="s">
        <v>44</v>
      </c>
      <c r="BO3" s="68" t="s">
        <v>45</v>
      </c>
      <c r="BP3" s="4" t="s">
        <v>46</v>
      </c>
      <c r="BQ3" s="4" t="s">
        <v>71</v>
      </c>
      <c r="BR3" s="62" t="s">
        <v>72</v>
      </c>
      <c r="BS3" s="63" t="s">
        <v>73</v>
      </c>
      <c r="BT3" s="62" t="s">
        <v>74</v>
      </c>
    </row>
    <row r="4" spans="1:72" ht="14.45" customHeight="1" x14ac:dyDescent="0.25">
      <c r="A4" s="11">
        <v>0</v>
      </c>
      <c r="B4" s="11" t="s">
        <v>66</v>
      </c>
      <c r="C4" s="64">
        <v>0</v>
      </c>
      <c r="D4" s="64">
        <v>0</v>
      </c>
      <c r="E4" s="64">
        <v>5</v>
      </c>
      <c r="F4" s="64">
        <v>25</v>
      </c>
      <c r="G4" s="65">
        <v>15</v>
      </c>
      <c r="H4" s="65">
        <v>15</v>
      </c>
      <c r="I4" s="64">
        <v>240</v>
      </c>
      <c r="J4" s="64">
        <v>12</v>
      </c>
      <c r="K4" s="64">
        <v>-4</v>
      </c>
      <c r="L4" s="65">
        <v>24</v>
      </c>
      <c r="M4" s="15">
        <v>300</v>
      </c>
      <c r="N4" s="15">
        <v>300</v>
      </c>
      <c r="O4" s="15">
        <v>1</v>
      </c>
      <c r="P4" s="15">
        <v>1</v>
      </c>
      <c r="Q4" s="15">
        <v>0</v>
      </c>
      <c r="R4" s="15">
        <v>0</v>
      </c>
      <c r="S4" s="15"/>
      <c r="T4" s="15"/>
      <c r="U4" s="15"/>
      <c r="V4" s="15"/>
      <c r="W4" s="15">
        <v>1</v>
      </c>
      <c r="X4" s="15">
        <v>1</v>
      </c>
      <c r="Y4" s="15">
        <v>0</v>
      </c>
      <c r="Z4" s="15">
        <v>0</v>
      </c>
      <c r="AB4" s="20">
        <v>0</v>
      </c>
      <c r="AC4" s="12">
        <v>-123539.31436382832</v>
      </c>
      <c r="AD4" s="16">
        <v>-34.316476212174535</v>
      </c>
      <c r="AE4" s="14">
        <v>2.2338622446698233</v>
      </c>
      <c r="AF4" s="14">
        <v>2.2338622446698233</v>
      </c>
      <c r="AG4" s="14">
        <v>20.361948255339573</v>
      </c>
      <c r="AH4" s="12">
        <v>-123539.33878502547</v>
      </c>
      <c r="AI4" s="14">
        <v>-34.31648299584041</v>
      </c>
      <c r="AJ4" s="14">
        <v>2.2338623509855116</v>
      </c>
      <c r="AK4" s="14">
        <v>2.2338623509855116</v>
      </c>
      <c r="AL4" s="14">
        <v>9.6380494390350293</v>
      </c>
      <c r="AM4" s="12">
        <v>3600</v>
      </c>
      <c r="AN4" s="12">
        <v>1200</v>
      </c>
      <c r="AO4" s="12">
        <v>1200</v>
      </c>
      <c r="AP4" s="12">
        <v>1200</v>
      </c>
      <c r="AQ4" s="16">
        <v>1.0148945288043423</v>
      </c>
      <c r="AR4" s="16">
        <v>-0.5361949938126167</v>
      </c>
      <c r="AS4" s="14">
        <v>20.361948255339573</v>
      </c>
      <c r="AT4" s="14">
        <v>9.6380494390350311</v>
      </c>
      <c r="AU4" s="14">
        <v>9.6380494390350311</v>
      </c>
      <c r="AV4" s="14">
        <v>20.36195037523516</v>
      </c>
      <c r="AW4" s="12">
        <v>0</v>
      </c>
      <c r="AX4" s="12">
        <v>-123539.31436382832</v>
      </c>
      <c r="AY4" s="12">
        <v>0</v>
      </c>
      <c r="AZ4" s="12">
        <v>-123539.31436382832</v>
      </c>
      <c r="BA4" s="12">
        <v>0</v>
      </c>
      <c r="BB4" s="12">
        <v>0</v>
      </c>
      <c r="BC4" s="12">
        <v>-123539.33878502547</v>
      </c>
      <c r="BD4" s="12">
        <v>-123539.33878502547</v>
      </c>
      <c r="BE4" s="56"/>
      <c r="BF4" s="57"/>
      <c r="BG4" s="57"/>
      <c r="BH4" s="57"/>
      <c r="BI4" s="57"/>
    </row>
    <row r="5" spans="1:72" ht="14.45" customHeight="1" x14ac:dyDescent="0.25">
      <c r="A5" s="11">
        <f t="shared" ref="A5:A36" si="0">A4+1</f>
        <v>1</v>
      </c>
      <c r="B5" s="11" t="s">
        <v>66</v>
      </c>
      <c r="C5" s="17">
        <v>4</v>
      </c>
      <c r="D5" s="17">
        <v>4</v>
      </c>
      <c r="E5" s="15">
        <v>5</v>
      </c>
      <c r="F5" s="15">
        <v>25</v>
      </c>
      <c r="G5" s="15">
        <f t="shared" ref="G5:H36" si="1">G4</f>
        <v>15</v>
      </c>
      <c r="H5" s="15">
        <f t="shared" si="1"/>
        <v>15</v>
      </c>
      <c r="I5" s="15">
        <v>240</v>
      </c>
      <c r="J5" s="15">
        <v>12</v>
      </c>
      <c r="K5" s="15">
        <v>-4</v>
      </c>
      <c r="L5" s="15">
        <f t="shared" ref="L5:L11" si="2">L4</f>
        <v>24</v>
      </c>
      <c r="M5" s="15">
        <v>300</v>
      </c>
      <c r="N5" s="15">
        <v>300</v>
      </c>
      <c r="O5" s="15">
        <v>1</v>
      </c>
      <c r="P5" s="15">
        <v>1</v>
      </c>
      <c r="Q5" s="15">
        <v>0</v>
      </c>
      <c r="R5" s="15">
        <v>0</v>
      </c>
      <c r="S5" s="15"/>
      <c r="T5" s="15"/>
      <c r="U5" s="15"/>
      <c r="V5" s="15"/>
      <c r="W5" s="15">
        <v>1</v>
      </c>
      <c r="X5" s="15">
        <v>1</v>
      </c>
      <c r="Y5" s="15">
        <v>0</v>
      </c>
      <c r="Z5" s="15">
        <v>0</v>
      </c>
      <c r="AB5" s="20">
        <v>1</v>
      </c>
      <c r="AC5" s="12">
        <v>-350144.27073764883</v>
      </c>
      <c r="AD5" s="16">
        <v>-97.262297427124679</v>
      </c>
      <c r="AE5" s="14">
        <v>5.5267013690247317</v>
      </c>
      <c r="AF5" s="14">
        <v>5.5267013690247317</v>
      </c>
      <c r="AG5" s="14">
        <v>22.598616413806354</v>
      </c>
      <c r="AH5" s="12">
        <v>-350144.29791191366</v>
      </c>
      <c r="AI5" s="14">
        <v>-97.262304975531578</v>
      </c>
      <c r="AJ5" s="14">
        <v>5.5267014382493969</v>
      </c>
      <c r="AK5" s="14">
        <v>5.5267014382493969</v>
      </c>
      <c r="AL5" s="14">
        <v>7.4013824408181224</v>
      </c>
      <c r="AM5" s="12">
        <v>3600</v>
      </c>
      <c r="AN5" s="12">
        <v>1200</v>
      </c>
      <c r="AO5" s="12">
        <v>1200</v>
      </c>
      <c r="AP5" s="12">
        <v>1200</v>
      </c>
      <c r="AQ5" s="16">
        <v>0.7176388035066763</v>
      </c>
      <c r="AR5" s="16">
        <v>-0.759861728135376</v>
      </c>
      <c r="AS5" s="14">
        <v>22.598616413806351</v>
      </c>
      <c r="AT5" s="14">
        <v>7.4013824408181206</v>
      </c>
      <c r="AU5" s="14">
        <v>7.4013824408181206</v>
      </c>
      <c r="AV5" s="14">
        <v>22.598617593244928</v>
      </c>
      <c r="AW5" s="12">
        <v>0</v>
      </c>
      <c r="AX5" s="12">
        <v>-350144.27073764883</v>
      </c>
      <c r="AY5" s="12">
        <v>0</v>
      </c>
      <c r="AZ5" s="12">
        <v>-350144.27073764883</v>
      </c>
      <c r="BA5" s="12">
        <v>0</v>
      </c>
      <c r="BB5" s="12">
        <v>0</v>
      </c>
      <c r="BC5" s="12">
        <v>-350144.29791191366</v>
      </c>
      <c r="BD5" s="12">
        <v>-350144.29791191366</v>
      </c>
      <c r="BE5" s="56"/>
      <c r="BF5" s="57"/>
      <c r="BG5" s="57"/>
      <c r="BH5" s="57"/>
      <c r="BI5" s="57"/>
    </row>
    <row r="6" spans="1:72" ht="14.45" customHeight="1" x14ac:dyDescent="0.25">
      <c r="A6" s="11">
        <f t="shared" si="0"/>
        <v>2</v>
      </c>
      <c r="B6" s="11" t="s">
        <v>66</v>
      </c>
      <c r="C6" s="15">
        <v>0</v>
      </c>
      <c r="D6" s="15">
        <v>0</v>
      </c>
      <c r="E6" s="15">
        <v>5</v>
      </c>
      <c r="F6" s="15">
        <v>25</v>
      </c>
      <c r="G6" s="15">
        <f t="shared" si="1"/>
        <v>15</v>
      </c>
      <c r="H6" s="15">
        <f t="shared" si="1"/>
        <v>15</v>
      </c>
      <c r="I6" s="15">
        <v>240</v>
      </c>
      <c r="J6" s="15">
        <v>12</v>
      </c>
      <c r="K6" s="17">
        <v>-8</v>
      </c>
      <c r="L6" s="15">
        <f t="shared" si="2"/>
        <v>24</v>
      </c>
      <c r="M6" s="15">
        <v>300</v>
      </c>
      <c r="N6" s="15">
        <v>300</v>
      </c>
      <c r="O6" s="15">
        <v>1</v>
      </c>
      <c r="P6" s="15">
        <v>1</v>
      </c>
      <c r="Q6" s="15">
        <v>0</v>
      </c>
      <c r="R6" s="15">
        <v>0</v>
      </c>
      <c r="S6" s="15"/>
      <c r="T6" s="15"/>
      <c r="U6" s="15"/>
      <c r="V6" s="15"/>
      <c r="W6" s="15">
        <v>1</v>
      </c>
      <c r="X6" s="15">
        <v>1</v>
      </c>
      <c r="Y6" s="15">
        <v>0</v>
      </c>
      <c r="Z6" s="15">
        <v>0</v>
      </c>
      <c r="AB6" s="20">
        <v>2</v>
      </c>
      <c r="AC6" s="12">
        <v>-350144.27073764883</v>
      </c>
      <c r="AD6" s="16">
        <v>-97.262297427124679</v>
      </c>
      <c r="AE6" s="14">
        <v>5.5267013690247317</v>
      </c>
      <c r="AF6" s="14">
        <v>5.5267013690247317</v>
      </c>
      <c r="AG6" s="14">
        <v>22.598616413806354</v>
      </c>
      <c r="AH6" s="12">
        <v>-350144.29791191366</v>
      </c>
      <c r="AI6" s="14">
        <v>-97.262304975531578</v>
      </c>
      <c r="AJ6" s="14">
        <v>5.5267014382493969</v>
      </c>
      <c r="AK6" s="14">
        <v>5.5267014382493969</v>
      </c>
      <c r="AL6" s="14">
        <v>7.4013824408181224</v>
      </c>
      <c r="AM6" s="12">
        <v>3600</v>
      </c>
      <c r="AN6" s="12">
        <v>1200</v>
      </c>
      <c r="AO6" s="12">
        <v>1200</v>
      </c>
      <c r="AP6" s="12">
        <v>1200</v>
      </c>
      <c r="AQ6" s="16">
        <v>0.7176388035066763</v>
      </c>
      <c r="AR6" s="16">
        <v>-0.759861728135376</v>
      </c>
      <c r="AS6" s="14">
        <v>22.598616413806351</v>
      </c>
      <c r="AT6" s="14">
        <v>7.4013824408181206</v>
      </c>
      <c r="AU6" s="14">
        <v>7.4013824408181206</v>
      </c>
      <c r="AV6" s="14">
        <v>22.598617593244928</v>
      </c>
      <c r="AW6" s="12">
        <v>0</v>
      </c>
      <c r="AX6" s="12">
        <v>-350144.27073764883</v>
      </c>
      <c r="AY6" s="12">
        <v>0</v>
      </c>
      <c r="AZ6" s="12">
        <v>-350144.27073764883</v>
      </c>
      <c r="BA6" s="12">
        <v>0</v>
      </c>
      <c r="BB6" s="12">
        <v>0</v>
      </c>
      <c r="BC6" s="12">
        <v>-350144.29791191366</v>
      </c>
      <c r="BD6" s="12">
        <v>-350144.29791191366</v>
      </c>
      <c r="BE6" s="56"/>
      <c r="BF6" s="57"/>
      <c r="BG6" s="57"/>
      <c r="BH6" s="57"/>
      <c r="BI6" s="57"/>
    </row>
    <row r="7" spans="1:72" ht="14.45" customHeight="1" x14ac:dyDescent="0.25">
      <c r="A7" s="11">
        <f t="shared" si="0"/>
        <v>3</v>
      </c>
      <c r="B7" s="11" t="s">
        <v>66</v>
      </c>
      <c r="C7" s="15">
        <v>0</v>
      </c>
      <c r="D7" s="15">
        <v>0</v>
      </c>
      <c r="E7" s="15">
        <v>5</v>
      </c>
      <c r="F7" s="15">
        <v>25</v>
      </c>
      <c r="G7" s="15">
        <f t="shared" si="1"/>
        <v>15</v>
      </c>
      <c r="H7" s="15">
        <f t="shared" si="1"/>
        <v>15</v>
      </c>
      <c r="I7" s="15">
        <v>240</v>
      </c>
      <c r="J7" s="15">
        <v>12</v>
      </c>
      <c r="K7" s="17">
        <v>-2</v>
      </c>
      <c r="L7" s="15">
        <f t="shared" si="2"/>
        <v>24</v>
      </c>
      <c r="M7" s="15">
        <v>300</v>
      </c>
      <c r="N7" s="15">
        <v>300</v>
      </c>
      <c r="O7" s="15">
        <v>1</v>
      </c>
      <c r="P7" s="15">
        <v>1</v>
      </c>
      <c r="Q7" s="15">
        <v>0</v>
      </c>
      <c r="R7" s="15">
        <v>0</v>
      </c>
      <c r="S7" s="15"/>
      <c r="T7" s="15"/>
      <c r="U7" s="15"/>
      <c r="V7" s="15"/>
      <c r="W7" s="15">
        <v>1</v>
      </c>
      <c r="X7" s="15">
        <v>1</v>
      </c>
      <c r="Y7" s="15">
        <v>0</v>
      </c>
      <c r="Z7" s="15">
        <v>0</v>
      </c>
      <c r="AB7" s="20">
        <v>3</v>
      </c>
      <c r="AC7" s="12">
        <v>-40150.576898544154</v>
      </c>
      <c r="AD7" s="16">
        <v>-11.152938027373375</v>
      </c>
      <c r="AE7" s="14">
        <v>0.82704921528492936</v>
      </c>
      <c r="AF7" s="14">
        <v>0.82704921528492936</v>
      </c>
      <c r="AG7" s="14">
        <v>18.485216866484834</v>
      </c>
      <c r="AH7" s="12">
        <v>-40151.215225352105</v>
      </c>
      <c r="AI7" s="14">
        <v>-11.153115340375585</v>
      </c>
      <c r="AJ7" s="14">
        <v>0.82705300900840684</v>
      </c>
      <c r="AK7" s="14">
        <v>0.82705300900840684</v>
      </c>
      <c r="AL7" s="14">
        <v>11.514630599376471</v>
      </c>
      <c r="AM7" s="12">
        <v>3600</v>
      </c>
      <c r="AN7" s="12">
        <v>1200</v>
      </c>
      <c r="AO7" s="12">
        <v>1200</v>
      </c>
      <c r="AP7" s="12">
        <v>1200</v>
      </c>
      <c r="AQ7" s="16">
        <v>1.4352776070133526</v>
      </c>
      <c r="AR7" s="16">
        <v>-0.34853208387107754</v>
      </c>
      <c r="AS7" s="14">
        <v>18.485216866484834</v>
      </c>
      <c r="AT7" s="14">
        <v>11.514630599376472</v>
      </c>
      <c r="AU7" s="14">
        <v>11.514630599376472</v>
      </c>
      <c r="AV7" s="14">
        <v>18.485327687111212</v>
      </c>
      <c r="AW7" s="12">
        <v>0</v>
      </c>
      <c r="AX7" s="12">
        <v>-40150.576898544154</v>
      </c>
      <c r="AY7" s="12">
        <v>0</v>
      </c>
      <c r="AZ7" s="12">
        <v>-40150.576898544154</v>
      </c>
      <c r="BA7" s="12">
        <v>0</v>
      </c>
      <c r="BB7" s="12">
        <v>0</v>
      </c>
      <c r="BC7" s="12">
        <v>-40151.215225352105</v>
      </c>
      <c r="BD7" s="12">
        <v>-40151.215225352105</v>
      </c>
      <c r="BE7" s="56"/>
      <c r="BF7" s="57"/>
      <c r="BG7" s="57"/>
      <c r="BH7" s="57"/>
      <c r="BI7" s="57"/>
    </row>
    <row r="8" spans="1:72" ht="14.45" customHeight="1" x14ac:dyDescent="0.25">
      <c r="A8" s="11">
        <f t="shared" si="0"/>
        <v>4</v>
      </c>
      <c r="B8" s="11" t="s">
        <v>66</v>
      </c>
      <c r="C8" s="15">
        <v>0</v>
      </c>
      <c r="D8" s="15">
        <v>0</v>
      </c>
      <c r="E8" s="17">
        <v>10</v>
      </c>
      <c r="F8" s="17">
        <v>20</v>
      </c>
      <c r="G8" s="15">
        <f t="shared" si="1"/>
        <v>15</v>
      </c>
      <c r="H8" s="15">
        <f t="shared" si="1"/>
        <v>15</v>
      </c>
      <c r="I8" s="15">
        <v>240</v>
      </c>
      <c r="J8" s="15">
        <v>12</v>
      </c>
      <c r="K8" s="15">
        <v>-4</v>
      </c>
      <c r="L8" s="15">
        <f t="shared" si="2"/>
        <v>24</v>
      </c>
      <c r="M8" s="15">
        <v>300</v>
      </c>
      <c r="N8" s="15">
        <v>300</v>
      </c>
      <c r="O8" s="15">
        <v>1</v>
      </c>
      <c r="P8" s="15">
        <v>1</v>
      </c>
      <c r="Q8" s="15">
        <v>0</v>
      </c>
      <c r="R8" s="15">
        <v>0</v>
      </c>
      <c r="S8" s="15"/>
      <c r="T8" s="15"/>
      <c r="U8" s="15"/>
      <c r="V8" s="15"/>
      <c r="W8" s="15">
        <v>1</v>
      </c>
      <c r="X8" s="15">
        <v>1</v>
      </c>
      <c r="Y8" s="15">
        <v>0</v>
      </c>
      <c r="Z8" s="15">
        <v>0</v>
      </c>
      <c r="AB8" s="20">
        <v>4</v>
      </c>
      <c r="AC8" s="12">
        <v>-40149.568801204718</v>
      </c>
      <c r="AD8" s="16">
        <v>-11.152658000334643</v>
      </c>
      <c r="AE8" s="14">
        <v>1.6540676361640549</v>
      </c>
      <c r="AF8" s="14">
        <v>1.6540676361640549</v>
      </c>
      <c r="AG8" s="14">
        <v>16.742564666943579</v>
      </c>
      <c r="AH8" s="12">
        <v>-40150.207319938047</v>
      </c>
      <c r="AI8" s="14">
        <v>-11.152835366649457</v>
      </c>
      <c r="AJ8" s="14">
        <v>1.6540752259914644</v>
      </c>
      <c r="AK8" s="14">
        <v>1.6540752259914644</v>
      </c>
      <c r="AL8" s="14">
        <v>13.257359041839003</v>
      </c>
      <c r="AM8" s="12">
        <v>3600</v>
      </c>
      <c r="AN8" s="12">
        <v>1200</v>
      </c>
      <c r="AO8" s="12">
        <v>1200</v>
      </c>
      <c r="AP8" s="12">
        <v>1200</v>
      </c>
      <c r="AQ8" s="16">
        <v>1.43530589421433</v>
      </c>
      <c r="AR8" s="16">
        <v>-0.34852333385912654</v>
      </c>
      <c r="AS8" s="14">
        <v>16.742564666943579</v>
      </c>
      <c r="AT8" s="14">
        <v>13.257359041839001</v>
      </c>
      <c r="AU8" s="14">
        <v>13.257359041839001</v>
      </c>
      <c r="AV8" s="14">
        <v>16.742620093916958</v>
      </c>
      <c r="AW8" s="12">
        <v>0</v>
      </c>
      <c r="AX8" s="12">
        <v>-40149.568801204718</v>
      </c>
      <c r="AY8" s="12">
        <v>0</v>
      </c>
      <c r="AZ8" s="12">
        <v>-40149.568801204718</v>
      </c>
      <c r="BA8" s="12">
        <v>0</v>
      </c>
      <c r="BB8" s="12">
        <v>0</v>
      </c>
      <c r="BC8" s="12">
        <v>-40150.207319938047</v>
      </c>
      <c r="BD8" s="12">
        <v>-40150.207319938047</v>
      </c>
      <c r="BE8" s="56"/>
      <c r="BF8" s="57"/>
      <c r="BG8" s="57"/>
      <c r="BH8" s="57"/>
      <c r="BI8" s="57"/>
    </row>
    <row r="9" spans="1:72" ht="14.45" customHeight="1" x14ac:dyDescent="0.25">
      <c r="A9" s="11">
        <f t="shared" si="0"/>
        <v>5</v>
      </c>
      <c r="B9" s="11" t="s">
        <v>66</v>
      </c>
      <c r="C9" s="15">
        <v>0</v>
      </c>
      <c r="D9" s="15">
        <v>0</v>
      </c>
      <c r="E9" s="17">
        <v>0</v>
      </c>
      <c r="F9" s="17">
        <v>30</v>
      </c>
      <c r="G9" s="15">
        <f t="shared" si="1"/>
        <v>15</v>
      </c>
      <c r="H9" s="15">
        <f t="shared" si="1"/>
        <v>15</v>
      </c>
      <c r="I9" s="15">
        <v>240</v>
      </c>
      <c r="J9" s="15">
        <v>12</v>
      </c>
      <c r="K9" s="15">
        <v>-4</v>
      </c>
      <c r="L9" s="15">
        <f t="shared" si="2"/>
        <v>24</v>
      </c>
      <c r="M9" s="15">
        <v>300</v>
      </c>
      <c r="N9" s="15">
        <v>300</v>
      </c>
      <c r="O9" s="15">
        <v>1</v>
      </c>
      <c r="P9" s="15">
        <v>1</v>
      </c>
      <c r="Q9" s="15">
        <v>0</v>
      </c>
      <c r="R9" s="15">
        <v>0</v>
      </c>
      <c r="S9" s="15"/>
      <c r="T9" s="15"/>
      <c r="U9" s="15"/>
      <c r="V9" s="15"/>
      <c r="W9" s="15">
        <v>1</v>
      </c>
      <c r="X9" s="15">
        <v>1</v>
      </c>
      <c r="Y9" s="15">
        <v>0</v>
      </c>
      <c r="Z9" s="15">
        <v>0</v>
      </c>
      <c r="AB9" s="20">
        <v>5</v>
      </c>
      <c r="AC9" s="12">
        <v>-231028.33158208698</v>
      </c>
      <c r="AD9" s="16">
        <v>-64.174536550579717</v>
      </c>
      <c r="AE9" s="14">
        <v>2.5641948172046618</v>
      </c>
      <c r="AF9" s="14">
        <v>2.5641948172046618</v>
      </c>
      <c r="AG9" s="14">
        <v>25.027168809481925</v>
      </c>
      <c r="AH9" s="12">
        <v>-231030.69039697378</v>
      </c>
      <c r="AI9" s="14">
        <v>-64.175191776937154</v>
      </c>
      <c r="AJ9" s="14">
        <v>2.5641999887532867</v>
      </c>
      <c r="AK9" s="14">
        <v>2.5641999887532867</v>
      </c>
      <c r="AL9" s="14">
        <v>4.9726261374257659</v>
      </c>
      <c r="AM9" s="12">
        <v>3600</v>
      </c>
      <c r="AN9" s="12">
        <v>1200</v>
      </c>
      <c r="AO9" s="12">
        <v>1200</v>
      </c>
      <c r="AP9" s="12">
        <v>1200</v>
      </c>
      <c r="AQ9" s="16">
        <v>0.82862780302907391</v>
      </c>
      <c r="AR9" s="16">
        <v>-0.6684881683724837</v>
      </c>
      <c r="AS9" s="14">
        <v>25.027168809481925</v>
      </c>
      <c r="AT9" s="14">
        <v>4.9726261374257623</v>
      </c>
      <c r="AU9" s="14">
        <v>4.9726261374257623</v>
      </c>
      <c r="AV9" s="14">
        <v>25.027373567718627</v>
      </c>
      <c r="AW9" s="12">
        <v>0</v>
      </c>
      <c r="AX9" s="12">
        <v>-231028.33158208698</v>
      </c>
      <c r="AY9" s="12">
        <v>0</v>
      </c>
      <c r="AZ9" s="12">
        <v>-231028.33158208698</v>
      </c>
      <c r="BA9" s="12">
        <v>0</v>
      </c>
      <c r="BB9" s="12">
        <v>0</v>
      </c>
      <c r="BC9" s="12">
        <v>-231030.69039697378</v>
      </c>
      <c r="BD9" s="12">
        <v>-231030.69039697378</v>
      </c>
      <c r="BE9" s="56"/>
      <c r="BF9" s="57"/>
      <c r="BG9" s="57"/>
      <c r="BH9" s="57"/>
      <c r="BI9" s="57"/>
    </row>
    <row r="10" spans="1:72" ht="14.45" customHeight="1" x14ac:dyDescent="0.25">
      <c r="A10" s="11">
        <f t="shared" si="0"/>
        <v>6</v>
      </c>
      <c r="B10" s="11" t="s">
        <v>66</v>
      </c>
      <c r="C10" s="15">
        <v>0</v>
      </c>
      <c r="D10" s="15">
        <v>0</v>
      </c>
      <c r="E10" s="15">
        <v>5</v>
      </c>
      <c r="F10" s="15">
        <v>25</v>
      </c>
      <c r="G10" s="15">
        <f t="shared" si="1"/>
        <v>15</v>
      </c>
      <c r="H10" s="15">
        <f t="shared" si="1"/>
        <v>15</v>
      </c>
      <c r="I10" s="17">
        <v>480</v>
      </c>
      <c r="J10" s="15">
        <v>12</v>
      </c>
      <c r="K10" s="15">
        <v>-4</v>
      </c>
      <c r="L10" s="15">
        <f t="shared" si="2"/>
        <v>24</v>
      </c>
      <c r="M10" s="15">
        <v>300</v>
      </c>
      <c r="N10" s="15">
        <v>300</v>
      </c>
      <c r="O10" s="15">
        <v>1</v>
      </c>
      <c r="P10" s="15">
        <v>1</v>
      </c>
      <c r="Q10" s="15">
        <v>0</v>
      </c>
      <c r="R10" s="15">
        <v>0</v>
      </c>
      <c r="S10" s="15"/>
      <c r="T10" s="15"/>
      <c r="U10" s="15"/>
      <c r="V10" s="15"/>
      <c r="W10" s="15">
        <v>1</v>
      </c>
      <c r="X10" s="15">
        <v>1</v>
      </c>
      <c r="Y10" s="15">
        <v>0</v>
      </c>
      <c r="Z10" s="15">
        <v>0</v>
      </c>
      <c r="AB10" s="20">
        <v>6</v>
      </c>
      <c r="AC10" s="12">
        <v>-103751.416926051</v>
      </c>
      <c r="AD10" s="16">
        <v>-28.819838035014165</v>
      </c>
      <c r="AE10" s="14">
        <v>2.3523495997798562</v>
      </c>
      <c r="AF10" s="14">
        <v>2.3523495997798562</v>
      </c>
      <c r="AG10" s="14">
        <v>17.251511441033792</v>
      </c>
      <c r="AH10" s="12">
        <v>-103752.36249914613</v>
      </c>
      <c r="AI10" s="14">
        <v>-28.820100694207259</v>
      </c>
      <c r="AJ10" s="14">
        <v>2.3523562905936171</v>
      </c>
      <c r="AK10" s="14">
        <v>2.3523562905936171</v>
      </c>
      <c r="AL10" s="14">
        <v>12.748411748062829</v>
      </c>
      <c r="AM10" s="12">
        <v>3600</v>
      </c>
      <c r="AN10" s="12">
        <v>1200</v>
      </c>
      <c r="AO10" s="12">
        <v>1200</v>
      </c>
      <c r="AP10" s="12">
        <v>1200</v>
      </c>
      <c r="AQ10" s="16">
        <v>2.0297890576086846</v>
      </c>
      <c r="AR10" s="16">
        <v>-0.22515601066102117</v>
      </c>
      <c r="AS10" s="14">
        <v>17.251511441033792</v>
      </c>
      <c r="AT10" s="14">
        <v>12.74841174806283</v>
      </c>
      <c r="AU10" s="14">
        <v>12.74841174806283</v>
      </c>
      <c r="AV10" s="14">
        <v>17.251552481532716</v>
      </c>
      <c r="AW10" s="12">
        <v>0</v>
      </c>
      <c r="AX10" s="12">
        <v>-103751.416926051</v>
      </c>
      <c r="AY10" s="12">
        <v>0</v>
      </c>
      <c r="AZ10" s="12">
        <v>-103751.416926051</v>
      </c>
      <c r="BA10" s="12">
        <v>0</v>
      </c>
      <c r="BB10" s="12">
        <v>0</v>
      </c>
      <c r="BC10" s="12">
        <v>-103752.36249914613</v>
      </c>
      <c r="BD10" s="12">
        <v>-103752.36249914613</v>
      </c>
      <c r="BE10" s="56"/>
      <c r="BF10" s="57"/>
      <c r="BG10" s="57"/>
      <c r="BH10" s="57"/>
      <c r="BI10" s="57"/>
    </row>
    <row r="11" spans="1:72" ht="14.45" customHeight="1" x14ac:dyDescent="0.25">
      <c r="A11" s="11">
        <f t="shared" si="0"/>
        <v>7</v>
      </c>
      <c r="B11" s="11" t="s">
        <v>66</v>
      </c>
      <c r="C11" s="15">
        <v>0</v>
      </c>
      <c r="D11" s="15">
        <v>0</v>
      </c>
      <c r="E11" s="15">
        <v>5</v>
      </c>
      <c r="F11" s="15">
        <v>25</v>
      </c>
      <c r="G11" s="15">
        <f t="shared" si="1"/>
        <v>15</v>
      </c>
      <c r="H11" s="15">
        <f t="shared" si="1"/>
        <v>15</v>
      </c>
      <c r="I11" s="15">
        <v>240</v>
      </c>
      <c r="J11" s="17">
        <v>24</v>
      </c>
      <c r="K11" s="15">
        <v>-4</v>
      </c>
      <c r="L11" s="15">
        <f t="shared" si="2"/>
        <v>24</v>
      </c>
      <c r="M11" s="15">
        <v>300</v>
      </c>
      <c r="N11" s="15">
        <v>300</v>
      </c>
      <c r="O11" s="15">
        <v>1</v>
      </c>
      <c r="P11" s="15">
        <v>1</v>
      </c>
      <c r="Q11" s="15">
        <v>0</v>
      </c>
      <c r="R11" s="15">
        <v>0</v>
      </c>
      <c r="S11" s="15"/>
      <c r="T11" s="15"/>
      <c r="U11" s="15"/>
      <c r="V11" s="15"/>
      <c r="W11" s="15">
        <v>1</v>
      </c>
      <c r="X11" s="15">
        <v>1</v>
      </c>
      <c r="Y11" s="15">
        <v>0</v>
      </c>
      <c r="Z11" s="15">
        <v>0</v>
      </c>
      <c r="AB11" s="20">
        <v>7</v>
      </c>
      <c r="AC11" s="12">
        <v>-247078.62872765664</v>
      </c>
      <c r="AD11" s="16">
        <v>-68.632952424349071</v>
      </c>
      <c r="AE11" s="14">
        <v>4.4677244893396466</v>
      </c>
      <c r="AF11" s="14">
        <v>4.4677244893396466</v>
      </c>
      <c r="AG11" s="14">
        <v>20.361948255339573</v>
      </c>
      <c r="AH11" s="12">
        <v>-247078.67757005093</v>
      </c>
      <c r="AI11" s="14">
        <v>-68.63296599168082</v>
      </c>
      <c r="AJ11" s="14">
        <v>4.4677247019710231</v>
      </c>
      <c r="AK11" s="14">
        <v>4.4677247019710231</v>
      </c>
      <c r="AL11" s="14">
        <v>9.6380494390350293</v>
      </c>
      <c r="AM11" s="12">
        <v>3600</v>
      </c>
      <c r="AN11" s="12">
        <v>1200</v>
      </c>
      <c r="AO11" s="12">
        <v>1200</v>
      </c>
      <c r="AP11" s="12">
        <v>1200</v>
      </c>
      <c r="AQ11" s="16">
        <v>1.0148945288043423</v>
      </c>
      <c r="AR11" s="16">
        <v>-0.5361949938126167</v>
      </c>
      <c r="AS11" s="14">
        <v>20.361948255339573</v>
      </c>
      <c r="AT11" s="14">
        <v>9.6380494390350311</v>
      </c>
      <c r="AU11" s="14">
        <v>9.6380494390350311</v>
      </c>
      <c r="AV11" s="14">
        <v>20.36195037523516</v>
      </c>
      <c r="AW11" s="12">
        <v>0</v>
      </c>
      <c r="AX11" s="12">
        <v>-247078.62872765664</v>
      </c>
      <c r="AY11" s="12">
        <v>0</v>
      </c>
      <c r="AZ11" s="12">
        <v>-247078.62872765664</v>
      </c>
      <c r="BA11" s="12">
        <v>0</v>
      </c>
      <c r="BB11" s="12">
        <v>0</v>
      </c>
      <c r="BC11" s="12">
        <v>-247078.67757005093</v>
      </c>
      <c r="BD11" s="12">
        <v>-247078.67757005093</v>
      </c>
      <c r="BE11" s="56"/>
      <c r="BF11" s="57"/>
      <c r="BG11" s="57"/>
      <c r="BH11" s="57"/>
      <c r="BI11" s="57"/>
    </row>
    <row r="12" spans="1:72" ht="14.45" customHeight="1" x14ac:dyDescent="0.25">
      <c r="A12" s="11">
        <f t="shared" si="0"/>
        <v>8</v>
      </c>
      <c r="B12" s="11" t="s">
        <v>66</v>
      </c>
      <c r="C12" s="15">
        <v>0</v>
      </c>
      <c r="D12" s="15">
        <v>0</v>
      </c>
      <c r="E12" s="15">
        <v>5</v>
      </c>
      <c r="F12" s="15">
        <v>25</v>
      </c>
      <c r="G12" s="15">
        <f t="shared" si="1"/>
        <v>15</v>
      </c>
      <c r="H12" s="15">
        <f t="shared" si="1"/>
        <v>15</v>
      </c>
      <c r="I12" s="15">
        <v>240</v>
      </c>
      <c r="J12" s="15">
        <v>12</v>
      </c>
      <c r="K12" s="15">
        <v>-4</v>
      </c>
      <c r="L12" s="17">
        <v>54</v>
      </c>
      <c r="M12" s="15">
        <v>300</v>
      </c>
      <c r="N12" s="15">
        <v>300</v>
      </c>
      <c r="O12" s="15">
        <v>1</v>
      </c>
      <c r="P12" s="15">
        <v>1</v>
      </c>
      <c r="Q12" s="15">
        <v>0</v>
      </c>
      <c r="R12" s="15">
        <v>0</v>
      </c>
      <c r="S12" s="15"/>
      <c r="T12" s="15"/>
      <c r="U12" s="15"/>
      <c r="V12" s="15"/>
      <c r="W12" s="15">
        <v>1</v>
      </c>
      <c r="X12" s="15">
        <v>1</v>
      </c>
      <c r="Y12" s="15">
        <v>0</v>
      </c>
      <c r="Z12" s="15">
        <v>0</v>
      </c>
      <c r="AB12" s="20">
        <v>8</v>
      </c>
      <c r="AC12" s="12">
        <v>-14598.106203205025</v>
      </c>
      <c r="AD12" s="16">
        <v>-9.1238163770031413</v>
      </c>
      <c r="AE12" s="14">
        <v>0.85804469453644405</v>
      </c>
      <c r="AF12" s="14">
        <v>0.85804469453644405</v>
      </c>
      <c r="AG12" s="14">
        <v>15.633264718141813</v>
      </c>
      <c r="AH12" s="12">
        <v>-14599.476015326542</v>
      </c>
      <c r="AI12" s="14">
        <v>-9.1246725095790886</v>
      </c>
      <c r="AJ12" s="14">
        <v>0.85807136145110718</v>
      </c>
      <c r="AK12" s="14">
        <v>0.85807136145110718</v>
      </c>
      <c r="AL12" s="14">
        <v>14.366067999113604</v>
      </c>
      <c r="AM12" s="12">
        <v>1600</v>
      </c>
      <c r="AN12" s="12">
        <v>200</v>
      </c>
      <c r="AO12" s="12">
        <v>200</v>
      </c>
      <c r="AP12" s="12">
        <v>200</v>
      </c>
      <c r="AQ12" s="16">
        <v>6.0893671728260541</v>
      </c>
      <c r="AR12" s="16">
        <v>-6.3362808633966067E-2</v>
      </c>
      <c r="AS12" s="14">
        <v>15.633264718141815</v>
      </c>
      <c r="AT12" s="14">
        <v>14.366067999113602</v>
      </c>
      <c r="AU12" s="14">
        <v>14.366067999113602</v>
      </c>
      <c r="AV12" s="14">
        <v>15.633383625444031</v>
      </c>
      <c r="AW12" s="12">
        <v>0</v>
      </c>
      <c r="AX12" s="12">
        <v>-14598.106203205025</v>
      </c>
      <c r="AY12" s="12">
        <v>0</v>
      </c>
      <c r="AZ12" s="12">
        <v>-14598.106203205025</v>
      </c>
      <c r="BA12" s="12">
        <v>0</v>
      </c>
      <c r="BB12" s="12">
        <v>0</v>
      </c>
      <c r="BC12" s="12">
        <v>-14599.476015326542</v>
      </c>
      <c r="BD12" s="12">
        <v>-14599.476015326542</v>
      </c>
      <c r="BE12" s="56"/>
      <c r="BF12" s="57"/>
      <c r="BG12" s="57"/>
      <c r="BH12" s="57"/>
      <c r="BI12" s="57"/>
    </row>
    <row r="13" spans="1:72" ht="14.45" customHeight="1" x14ac:dyDescent="0.25">
      <c r="A13" s="11">
        <f t="shared" si="0"/>
        <v>9</v>
      </c>
      <c r="B13" s="11" t="s">
        <v>66</v>
      </c>
      <c r="C13" s="15">
        <v>0</v>
      </c>
      <c r="D13" s="15">
        <v>0</v>
      </c>
      <c r="E13" s="15">
        <v>5</v>
      </c>
      <c r="F13" s="15">
        <v>25</v>
      </c>
      <c r="G13" s="15">
        <f t="shared" si="1"/>
        <v>15</v>
      </c>
      <c r="H13" s="15">
        <f t="shared" si="1"/>
        <v>15</v>
      </c>
      <c r="I13" s="15">
        <v>240</v>
      </c>
      <c r="J13" s="15">
        <v>12</v>
      </c>
      <c r="K13" s="15">
        <v>-4</v>
      </c>
      <c r="L13" s="17">
        <v>43</v>
      </c>
      <c r="M13" s="15">
        <v>300</v>
      </c>
      <c r="N13" s="15">
        <v>300</v>
      </c>
      <c r="O13" s="15">
        <v>1</v>
      </c>
      <c r="P13" s="15">
        <v>1</v>
      </c>
      <c r="Q13" s="15">
        <v>0</v>
      </c>
      <c r="R13" s="15">
        <v>0</v>
      </c>
      <c r="S13" s="15"/>
      <c r="T13" s="15"/>
      <c r="U13" s="15"/>
      <c r="V13" s="15"/>
      <c r="W13" s="15">
        <v>1</v>
      </c>
      <c r="X13" s="15">
        <v>1</v>
      </c>
      <c r="Y13" s="15">
        <v>0</v>
      </c>
      <c r="Z13" s="15">
        <v>0</v>
      </c>
      <c r="AB13" s="20">
        <v>9</v>
      </c>
      <c r="AC13" s="12">
        <v>-32272.074428632477</v>
      </c>
      <c r="AD13" s="16">
        <v>-16.061333338324033</v>
      </c>
      <c r="AE13" s="14">
        <v>1.408819671649731</v>
      </c>
      <c r="AF13" s="14">
        <v>1.408819671649731</v>
      </c>
      <c r="AG13" s="14">
        <v>16.400560101149196</v>
      </c>
      <c r="AH13" s="12">
        <v>-32273.226872603336</v>
      </c>
      <c r="AI13" s="14">
        <v>-16.061906892615088</v>
      </c>
      <c r="AJ13" s="14">
        <v>1.4088359793328253</v>
      </c>
      <c r="AK13" s="14">
        <v>1.4088359793328253</v>
      </c>
      <c r="AL13" s="14">
        <v>13.599164751441515</v>
      </c>
      <c r="AM13" s="12">
        <v>2009.3023255813953</v>
      </c>
      <c r="AN13" s="12">
        <v>404.65116279069764</v>
      </c>
      <c r="AO13" s="12">
        <v>404.65116279069764</v>
      </c>
      <c r="AP13" s="12">
        <v>404.65116279069764</v>
      </c>
      <c r="AQ13" s="16">
        <v>3.0096872233508085</v>
      </c>
      <c r="AR13" s="16">
        <v>-0.14007226844886245</v>
      </c>
      <c r="AS13" s="14">
        <v>16.400560101149196</v>
      </c>
      <c r="AT13" s="14">
        <v>13.599164751441517</v>
      </c>
      <c r="AU13" s="14">
        <v>13.599164751441517</v>
      </c>
      <c r="AV13" s="14">
        <v>16.400660139688334</v>
      </c>
      <c r="AW13" s="12">
        <v>0</v>
      </c>
      <c r="AX13" s="12">
        <v>-32272.074428632477</v>
      </c>
      <c r="AY13" s="12">
        <v>0</v>
      </c>
      <c r="AZ13" s="12">
        <v>-32272.074428632477</v>
      </c>
      <c r="BA13" s="12">
        <v>0</v>
      </c>
      <c r="BB13" s="12">
        <v>0</v>
      </c>
      <c r="BC13" s="12">
        <v>-32273.226872603336</v>
      </c>
      <c r="BD13" s="12">
        <v>-32273.226872603336</v>
      </c>
      <c r="BE13" s="56"/>
      <c r="BF13" s="57"/>
      <c r="BG13" s="57"/>
      <c r="BH13" s="57"/>
      <c r="BI13" s="57"/>
    </row>
    <row r="14" spans="1:72" ht="14.45" customHeight="1" x14ac:dyDescent="0.25">
      <c r="A14" s="11">
        <f t="shared" si="0"/>
        <v>10</v>
      </c>
      <c r="B14" s="11" t="s">
        <v>66</v>
      </c>
      <c r="C14" s="15">
        <v>0</v>
      </c>
      <c r="D14" s="15">
        <v>0</v>
      </c>
      <c r="E14" s="15">
        <v>5</v>
      </c>
      <c r="F14" s="15">
        <v>25</v>
      </c>
      <c r="G14" s="15">
        <f t="shared" si="1"/>
        <v>15</v>
      </c>
      <c r="H14" s="15">
        <f t="shared" si="1"/>
        <v>15</v>
      </c>
      <c r="I14" s="15">
        <v>240</v>
      </c>
      <c r="J14" s="15">
        <v>12</v>
      </c>
      <c r="K14" s="15">
        <v>-4</v>
      </c>
      <c r="L14" s="17">
        <v>36</v>
      </c>
      <c r="M14" s="15">
        <v>300</v>
      </c>
      <c r="N14" s="15">
        <v>300</v>
      </c>
      <c r="O14" s="15">
        <v>1</v>
      </c>
      <c r="P14" s="15">
        <v>1</v>
      </c>
      <c r="Q14" s="15">
        <v>0</v>
      </c>
      <c r="R14" s="15">
        <v>0</v>
      </c>
      <c r="S14" s="15"/>
      <c r="T14" s="15"/>
      <c r="U14" s="15"/>
      <c r="V14" s="15"/>
      <c r="W14" s="15">
        <v>1</v>
      </c>
      <c r="X14" s="15">
        <v>1</v>
      </c>
      <c r="Y14" s="15">
        <v>0</v>
      </c>
      <c r="Z14" s="15">
        <v>0</v>
      </c>
      <c r="AB14" s="20">
        <v>10</v>
      </c>
      <c r="AC14" s="12">
        <v>-51875.708463025498</v>
      </c>
      <c r="AD14" s="16">
        <v>-21.614878526260625</v>
      </c>
      <c r="AE14" s="14">
        <v>1.764262199834892</v>
      </c>
      <c r="AF14" s="14">
        <v>1.764262199834892</v>
      </c>
      <c r="AG14" s="14">
        <v>17.251511441033792</v>
      </c>
      <c r="AH14" s="12">
        <v>-51876.181249573063</v>
      </c>
      <c r="AI14" s="14">
        <v>-21.615075520655441</v>
      </c>
      <c r="AJ14" s="14">
        <v>1.7642672179452128</v>
      </c>
      <c r="AK14" s="14">
        <v>1.7642672179452128</v>
      </c>
      <c r="AL14" s="14">
        <v>12.748411748062829</v>
      </c>
      <c r="AM14" s="12">
        <v>2400</v>
      </c>
      <c r="AN14" s="12">
        <v>600</v>
      </c>
      <c r="AO14" s="12">
        <v>600</v>
      </c>
      <c r="AP14" s="12">
        <v>600</v>
      </c>
      <c r="AQ14" s="16">
        <v>2.0297890576086846</v>
      </c>
      <c r="AR14" s="16">
        <v>-0.22515601066102117</v>
      </c>
      <c r="AS14" s="14">
        <v>17.251511441033792</v>
      </c>
      <c r="AT14" s="14">
        <v>12.74841174806283</v>
      </c>
      <c r="AU14" s="14">
        <v>12.74841174806283</v>
      </c>
      <c r="AV14" s="14">
        <v>17.251552481532716</v>
      </c>
      <c r="AW14" s="12">
        <v>0</v>
      </c>
      <c r="AX14" s="12">
        <v>-51875.708463025498</v>
      </c>
      <c r="AY14" s="12">
        <v>0</v>
      </c>
      <c r="AZ14" s="12">
        <v>-51875.708463025498</v>
      </c>
      <c r="BA14" s="12">
        <v>0</v>
      </c>
      <c r="BB14" s="12">
        <v>0</v>
      </c>
      <c r="BC14" s="12">
        <v>-51876.181249573063</v>
      </c>
      <c r="BD14" s="12">
        <v>-51876.181249573063</v>
      </c>
      <c r="BE14" s="56"/>
      <c r="BF14" s="57"/>
      <c r="BG14" s="57"/>
      <c r="BH14" s="57"/>
      <c r="BI14" s="57"/>
    </row>
    <row r="15" spans="1:72" ht="14.45" customHeight="1" x14ac:dyDescent="0.25">
      <c r="A15" s="11">
        <f t="shared" si="0"/>
        <v>11</v>
      </c>
      <c r="B15" s="11" t="s">
        <v>66</v>
      </c>
      <c r="C15" s="15">
        <v>0</v>
      </c>
      <c r="D15" s="15">
        <v>0</v>
      </c>
      <c r="E15" s="15">
        <v>5</v>
      </c>
      <c r="F15" s="15">
        <v>25</v>
      </c>
      <c r="G15" s="15">
        <f t="shared" si="1"/>
        <v>15</v>
      </c>
      <c r="H15" s="15">
        <f t="shared" si="1"/>
        <v>15</v>
      </c>
      <c r="I15" s="15">
        <v>240</v>
      </c>
      <c r="J15" s="15">
        <v>12</v>
      </c>
      <c r="K15" s="15">
        <v>-4</v>
      </c>
      <c r="L15" s="17">
        <v>28</v>
      </c>
      <c r="M15" s="15">
        <v>300</v>
      </c>
      <c r="N15" s="15">
        <v>300</v>
      </c>
      <c r="O15" s="15">
        <v>1</v>
      </c>
      <c r="P15" s="15">
        <v>1</v>
      </c>
      <c r="Q15" s="15">
        <v>0</v>
      </c>
      <c r="R15" s="15">
        <v>0</v>
      </c>
      <c r="S15" s="15"/>
      <c r="T15" s="15"/>
      <c r="U15" s="15"/>
      <c r="V15" s="15"/>
      <c r="W15" s="15">
        <v>1</v>
      </c>
      <c r="X15" s="15">
        <v>1</v>
      </c>
      <c r="Y15" s="15">
        <v>0</v>
      </c>
      <c r="Z15" s="15">
        <v>0</v>
      </c>
      <c r="AB15" s="20">
        <v>11</v>
      </c>
      <c r="AC15" s="12">
        <v>-91816.345796740774</v>
      </c>
      <c r="AD15" s="16">
        <v>-29.755297248943769</v>
      </c>
      <c r="AE15" s="14">
        <v>2.1276468488245142</v>
      </c>
      <c r="AF15" s="14">
        <v>2.1276468488245142</v>
      </c>
      <c r="AG15" s="14">
        <v>18.985073352461207</v>
      </c>
      <c r="AH15" s="12">
        <v>-91816.547451307037</v>
      </c>
      <c r="AI15" s="14">
        <v>-29.755362599960613</v>
      </c>
      <c r="AJ15" s="14">
        <v>2.1276481441345139</v>
      </c>
      <c r="AK15" s="14">
        <v>2.1276481441345139</v>
      </c>
      <c r="AL15" s="14">
        <v>11.014904446494128</v>
      </c>
      <c r="AM15" s="12">
        <v>3085.7142857142858</v>
      </c>
      <c r="AN15" s="12">
        <v>942.85714285714289</v>
      </c>
      <c r="AO15" s="12">
        <v>942.85714285714289</v>
      </c>
      <c r="AP15" s="12">
        <v>942.85714285714289</v>
      </c>
      <c r="AQ15" s="16">
        <v>1.291683945750981</v>
      </c>
      <c r="AR15" s="16">
        <v>-0.39850888291677039</v>
      </c>
      <c r="AS15" s="14">
        <v>18.985073352461207</v>
      </c>
      <c r="AT15" s="14">
        <v>11.014904446494127</v>
      </c>
      <c r="AU15" s="14">
        <v>11.014904446494127</v>
      </c>
      <c r="AV15" s="14">
        <v>18.985090857197864</v>
      </c>
      <c r="AW15" s="12">
        <v>0</v>
      </c>
      <c r="AX15" s="12">
        <v>-91816.345796740774</v>
      </c>
      <c r="AY15" s="12">
        <v>0</v>
      </c>
      <c r="AZ15" s="12">
        <v>-91816.345796740774</v>
      </c>
      <c r="BA15" s="12">
        <v>0</v>
      </c>
      <c r="BB15" s="12">
        <v>0</v>
      </c>
      <c r="BC15" s="12">
        <v>-91816.547451307037</v>
      </c>
      <c r="BD15" s="12">
        <v>-91816.547451307037</v>
      </c>
      <c r="BE15" s="56"/>
      <c r="BF15" s="57"/>
      <c r="BG15" s="57"/>
      <c r="BH15" s="57"/>
      <c r="BI15" s="57"/>
      <c r="BK15" s="15"/>
    </row>
    <row r="16" spans="1:72" ht="14.45" customHeight="1" x14ac:dyDescent="0.25">
      <c r="A16" s="11">
        <f t="shared" si="0"/>
        <v>12</v>
      </c>
      <c r="B16" s="11" t="s">
        <v>66</v>
      </c>
      <c r="C16" s="15">
        <v>0</v>
      </c>
      <c r="D16" s="15">
        <v>0</v>
      </c>
      <c r="E16" s="15">
        <v>5</v>
      </c>
      <c r="F16" s="15">
        <v>25</v>
      </c>
      <c r="G16" s="15">
        <f t="shared" si="1"/>
        <v>15</v>
      </c>
      <c r="H16" s="15">
        <f t="shared" si="1"/>
        <v>15</v>
      </c>
      <c r="I16" s="15">
        <v>240</v>
      </c>
      <c r="J16" s="15">
        <v>12</v>
      </c>
      <c r="K16" s="15">
        <v>-4</v>
      </c>
      <c r="L16" s="17">
        <v>20</v>
      </c>
      <c r="M16" s="15">
        <v>300</v>
      </c>
      <c r="N16" s="15">
        <v>300</v>
      </c>
      <c r="O16" s="15">
        <v>1</v>
      </c>
      <c r="P16" s="15">
        <v>1</v>
      </c>
      <c r="Q16" s="15">
        <v>0</v>
      </c>
      <c r="R16" s="15">
        <v>0</v>
      </c>
      <c r="S16" s="15"/>
      <c r="T16" s="15"/>
      <c r="U16" s="15"/>
      <c r="V16" s="15"/>
      <c r="W16" s="15">
        <v>1</v>
      </c>
      <c r="X16" s="15">
        <v>1</v>
      </c>
      <c r="Y16" s="15">
        <v>0</v>
      </c>
      <c r="Z16" s="15">
        <v>0</v>
      </c>
      <c r="AB16" s="20">
        <v>12</v>
      </c>
      <c r="AC16" s="12">
        <v>-162956.85664189141</v>
      </c>
      <c r="AD16" s="16">
        <v>-37.721494593030421</v>
      </c>
      <c r="AE16" s="14">
        <v>2.2094523390436174</v>
      </c>
      <c r="AF16" s="14">
        <v>2.2094523390436174</v>
      </c>
      <c r="AG16" s="14">
        <v>22.072780401933692</v>
      </c>
      <c r="AH16" s="12">
        <v>-162956.85276952997</v>
      </c>
      <c r="AI16" s="14">
        <v>-37.721493696650455</v>
      </c>
      <c r="AJ16" s="14">
        <v>2.2094523294383532</v>
      </c>
      <c r="AK16" s="14">
        <v>2.2094523294383532</v>
      </c>
      <c r="AL16" s="14">
        <v>7.9272199295472792</v>
      </c>
      <c r="AM16" s="12">
        <v>4320</v>
      </c>
      <c r="AN16" s="12">
        <v>1560</v>
      </c>
      <c r="AO16" s="12">
        <v>1560</v>
      </c>
      <c r="AP16" s="12">
        <v>1560</v>
      </c>
      <c r="AQ16" s="16">
        <v>0.78068809908026338</v>
      </c>
      <c r="AR16" s="16">
        <v>-0.70727801521575817</v>
      </c>
      <c r="AS16" s="14">
        <v>22.072780401933688</v>
      </c>
      <c r="AT16" s="14">
        <v>7.9272199295472801</v>
      </c>
      <c r="AU16" s="14">
        <v>7.9272199295472801</v>
      </c>
      <c r="AV16" s="14">
        <v>22.0727800657912</v>
      </c>
      <c r="AW16" s="12">
        <v>0</v>
      </c>
      <c r="AX16" s="12">
        <v>-162956.85664189141</v>
      </c>
      <c r="AY16" s="12">
        <v>0</v>
      </c>
      <c r="AZ16" s="12">
        <v>-162956.85664189141</v>
      </c>
      <c r="BA16" s="12">
        <v>0</v>
      </c>
      <c r="BB16" s="12">
        <v>0</v>
      </c>
      <c r="BC16" s="12">
        <v>-162956.85276952997</v>
      </c>
      <c r="BD16" s="12">
        <v>-162956.85276952997</v>
      </c>
      <c r="BE16" s="56"/>
      <c r="BF16" s="57"/>
      <c r="BG16" s="57"/>
      <c r="BH16" s="57"/>
      <c r="BI16" s="57"/>
    </row>
    <row r="17" spans="1:63" ht="14.45" customHeight="1" x14ac:dyDescent="0.25">
      <c r="A17" s="11">
        <f t="shared" si="0"/>
        <v>13</v>
      </c>
      <c r="B17" s="11" t="s">
        <v>66</v>
      </c>
      <c r="C17" s="15">
        <v>0</v>
      </c>
      <c r="D17" s="15">
        <v>0</v>
      </c>
      <c r="E17" s="15">
        <v>5</v>
      </c>
      <c r="F17" s="15">
        <v>25</v>
      </c>
      <c r="G17" s="15">
        <f t="shared" si="1"/>
        <v>15</v>
      </c>
      <c r="H17" s="15">
        <f t="shared" si="1"/>
        <v>15</v>
      </c>
      <c r="I17" s="15">
        <v>240</v>
      </c>
      <c r="J17" s="15">
        <v>12</v>
      </c>
      <c r="K17" s="15">
        <v>-4</v>
      </c>
      <c r="L17" s="17">
        <v>16</v>
      </c>
      <c r="M17" s="15">
        <v>300</v>
      </c>
      <c r="N17" s="15">
        <v>300</v>
      </c>
      <c r="O17" s="15">
        <v>1</v>
      </c>
      <c r="P17" s="15">
        <v>1</v>
      </c>
      <c r="Q17" s="15">
        <v>0</v>
      </c>
      <c r="R17" s="15">
        <v>0</v>
      </c>
      <c r="S17" s="15"/>
      <c r="T17" s="15"/>
      <c r="U17" s="15"/>
      <c r="V17" s="15"/>
      <c r="W17" s="15">
        <v>1</v>
      </c>
      <c r="X17" s="15">
        <v>1</v>
      </c>
      <c r="Y17" s="15">
        <v>0</v>
      </c>
      <c r="Z17" s="15">
        <v>0</v>
      </c>
      <c r="AB17" s="20">
        <v>13</v>
      </c>
      <c r="AC17" s="12">
        <v>-200770.26499983502</v>
      </c>
      <c r="AD17" s="16">
        <v>-37.179678703673154</v>
      </c>
      <c r="AE17" s="14">
        <v>1.9867332821203134</v>
      </c>
      <c r="AF17" s="14">
        <v>1.9867332821203134</v>
      </c>
      <c r="AG17" s="14">
        <v>23.713975870980356</v>
      </c>
      <c r="AH17" s="12">
        <v>-200770.53688178913</v>
      </c>
      <c r="AI17" s="14">
        <v>-37.17972905218317</v>
      </c>
      <c r="AJ17" s="14">
        <v>1.986733567908203</v>
      </c>
      <c r="AK17" s="14">
        <v>1.986733567908203</v>
      </c>
      <c r="AL17" s="14">
        <v>6.2860014786335672</v>
      </c>
      <c r="AM17" s="12">
        <v>5400</v>
      </c>
      <c r="AN17" s="12">
        <v>2100</v>
      </c>
      <c r="AO17" s="12">
        <v>2100</v>
      </c>
      <c r="AP17" s="12">
        <v>2100</v>
      </c>
      <c r="AQ17" s="16">
        <v>0.57993973074533844</v>
      </c>
      <c r="AR17" s="16">
        <v>-0.8713993096389413</v>
      </c>
      <c r="AS17" s="14">
        <v>23.713975870980356</v>
      </c>
      <c r="AT17" s="14">
        <v>6.2860014786335672</v>
      </c>
      <c r="AU17" s="14">
        <v>6.2860014786335672</v>
      </c>
      <c r="AV17" s="14">
        <v>23.713999471844428</v>
      </c>
      <c r="AW17" s="12">
        <v>0</v>
      </c>
      <c r="AX17" s="12">
        <v>-200770.26499983502</v>
      </c>
      <c r="AY17" s="12">
        <v>0</v>
      </c>
      <c r="AZ17" s="12">
        <v>-200770.26499983502</v>
      </c>
      <c r="BA17" s="12">
        <v>0</v>
      </c>
      <c r="BB17" s="12">
        <v>0</v>
      </c>
      <c r="BC17" s="12">
        <v>-200770.53688178913</v>
      </c>
      <c r="BD17" s="12">
        <v>-200770.53688178913</v>
      </c>
      <c r="BE17" s="56"/>
      <c r="BF17" s="57"/>
      <c r="BG17" s="57"/>
      <c r="BH17" s="57"/>
      <c r="BI17" s="57"/>
    </row>
    <row r="18" spans="1:63" ht="14.45" customHeight="1" x14ac:dyDescent="0.25">
      <c r="A18" s="11">
        <f t="shared" si="0"/>
        <v>14</v>
      </c>
      <c r="B18" s="11" t="s">
        <v>66</v>
      </c>
      <c r="C18" s="15">
        <v>0</v>
      </c>
      <c r="D18" s="15">
        <v>0</v>
      </c>
      <c r="E18" s="15">
        <v>5</v>
      </c>
      <c r="F18" s="15">
        <v>25</v>
      </c>
      <c r="G18" s="15">
        <f t="shared" si="1"/>
        <v>15</v>
      </c>
      <c r="H18" s="15">
        <f t="shared" si="1"/>
        <v>15</v>
      </c>
      <c r="I18" s="15">
        <v>240</v>
      </c>
      <c r="J18" s="15">
        <v>12</v>
      </c>
      <c r="K18" s="15">
        <v>-4</v>
      </c>
      <c r="L18" s="17">
        <v>12</v>
      </c>
      <c r="M18" s="15">
        <v>300</v>
      </c>
      <c r="N18" s="15">
        <v>300</v>
      </c>
      <c r="O18" s="15">
        <v>1</v>
      </c>
      <c r="P18" s="15">
        <v>1</v>
      </c>
      <c r="Q18" s="15">
        <v>0</v>
      </c>
      <c r="R18" s="15">
        <v>0</v>
      </c>
      <c r="S18" s="15"/>
      <c r="T18" s="15"/>
      <c r="U18" s="15"/>
      <c r="V18" s="15"/>
      <c r="W18" s="15">
        <v>1</v>
      </c>
      <c r="X18" s="15">
        <v>1</v>
      </c>
      <c r="Y18" s="15">
        <v>0</v>
      </c>
      <c r="Z18" s="15">
        <v>0</v>
      </c>
      <c r="AB18" s="20">
        <v>14</v>
      </c>
      <c r="AC18" s="12">
        <v>-223622.88901196083</v>
      </c>
      <c r="AD18" s="16">
        <v>-31.058734584994561</v>
      </c>
      <c r="AE18" s="14">
        <v>1.57611722789324</v>
      </c>
      <c r="AF18" s="14">
        <v>1.57611722789324</v>
      </c>
      <c r="AG18" s="14">
        <v>24.705853115069406</v>
      </c>
      <c r="AH18" s="12">
        <v>-223622.92296070591</v>
      </c>
      <c r="AI18" s="14">
        <v>-31.058739300098043</v>
      </c>
      <c r="AJ18" s="14">
        <v>1.576117236380278</v>
      </c>
      <c r="AK18" s="14">
        <v>1.576117236380278</v>
      </c>
      <c r="AL18" s="14">
        <v>5.2941439994478072</v>
      </c>
      <c r="AM18" s="12">
        <v>7200</v>
      </c>
      <c r="AN18" s="12">
        <v>3000</v>
      </c>
      <c r="AO18" s="12">
        <v>3000</v>
      </c>
      <c r="AP18" s="12">
        <v>3000</v>
      </c>
      <c r="AQ18" s="16">
        <v>0.40595781152173693</v>
      </c>
      <c r="AR18" s="16">
        <v>-0.97058552945457199</v>
      </c>
      <c r="AS18" s="14">
        <v>24.705853115069406</v>
      </c>
      <c r="AT18" s="14">
        <v>5.2941439994478063</v>
      </c>
      <c r="AU18" s="14">
        <v>5.2941439994478063</v>
      </c>
      <c r="AV18" s="14">
        <v>24.705856062009087</v>
      </c>
      <c r="AW18" s="12">
        <v>0</v>
      </c>
      <c r="AX18" s="12">
        <v>-223622.88901196083</v>
      </c>
      <c r="AY18" s="12">
        <v>0</v>
      </c>
      <c r="AZ18" s="12">
        <v>-223622.88901196083</v>
      </c>
      <c r="BA18" s="12">
        <v>0</v>
      </c>
      <c r="BB18" s="12">
        <v>0</v>
      </c>
      <c r="BC18" s="12">
        <v>-223622.92296070591</v>
      </c>
      <c r="BD18" s="12">
        <v>-223622.92296070591</v>
      </c>
      <c r="BE18" s="56"/>
      <c r="BF18" s="57"/>
      <c r="BG18" s="57"/>
      <c r="BH18" s="57"/>
      <c r="BI18" s="57"/>
    </row>
    <row r="19" spans="1:63" x14ac:dyDescent="0.25">
      <c r="A19" s="11">
        <f t="shared" si="0"/>
        <v>15</v>
      </c>
      <c r="B19" s="11" t="s">
        <v>66</v>
      </c>
      <c r="C19" s="15">
        <v>0</v>
      </c>
      <c r="D19" s="15">
        <v>0</v>
      </c>
      <c r="E19" s="15">
        <v>5</v>
      </c>
      <c r="F19" s="15">
        <v>25</v>
      </c>
      <c r="G19" s="15">
        <f t="shared" si="1"/>
        <v>15</v>
      </c>
      <c r="H19" s="15">
        <f t="shared" si="1"/>
        <v>15</v>
      </c>
      <c r="I19" s="15">
        <v>240</v>
      </c>
      <c r="J19" s="15">
        <v>12</v>
      </c>
      <c r="K19" s="15">
        <v>-4</v>
      </c>
      <c r="L19" s="17">
        <v>8</v>
      </c>
      <c r="M19" s="15">
        <v>300</v>
      </c>
      <c r="N19" s="15">
        <v>300</v>
      </c>
      <c r="O19" s="15">
        <v>1</v>
      </c>
      <c r="P19" s="15">
        <v>1</v>
      </c>
      <c r="Q19" s="15">
        <v>0</v>
      </c>
      <c r="R19" s="15">
        <v>0</v>
      </c>
      <c r="S19" s="15"/>
      <c r="T19" s="15"/>
      <c r="U19" s="15"/>
      <c r="V19" s="15"/>
      <c r="W19" s="15">
        <v>1</v>
      </c>
      <c r="X19" s="15">
        <v>1</v>
      </c>
      <c r="Y19" s="15">
        <v>0</v>
      </c>
      <c r="Z19" s="15">
        <v>0</v>
      </c>
      <c r="AB19" s="20">
        <v>15</v>
      </c>
      <c r="AC19" s="12">
        <v>-230050.12012415589</v>
      </c>
      <c r="AD19" s="16">
        <v>-21.300937048532951</v>
      </c>
      <c r="AE19" s="14">
        <v>1.0658597407332633</v>
      </c>
      <c r="AF19" s="14">
        <v>1.0658597407332633</v>
      </c>
      <c r="AG19" s="14">
        <v>24.984746805314995</v>
      </c>
      <c r="AH19" s="12">
        <v>-230051.67730745545</v>
      </c>
      <c r="AI19" s="14">
        <v>-21.3010812321718</v>
      </c>
      <c r="AJ19" s="14">
        <v>1.0658597621799701</v>
      </c>
      <c r="AK19" s="14">
        <v>1.0658597621799701</v>
      </c>
      <c r="AL19" s="14">
        <v>5.0151183223153515</v>
      </c>
      <c r="AM19" s="12">
        <v>10800</v>
      </c>
      <c r="AN19" s="12">
        <v>4800</v>
      </c>
      <c r="AO19" s="12">
        <v>4800</v>
      </c>
      <c r="AP19" s="12">
        <v>4800</v>
      </c>
      <c r="AQ19" s="16">
        <v>0.25372363220108557</v>
      </c>
      <c r="AR19" s="16">
        <v>-0.99848480345401769</v>
      </c>
      <c r="AS19" s="14">
        <v>24.984746805314995</v>
      </c>
      <c r="AT19" s="14">
        <v>5.0151183223153515</v>
      </c>
      <c r="AU19" s="14">
        <v>5.0151183223153515</v>
      </c>
      <c r="AV19" s="14">
        <v>24.984881977476416</v>
      </c>
      <c r="AW19" s="12">
        <v>0</v>
      </c>
      <c r="AX19" s="12">
        <v>-230050.12012415589</v>
      </c>
      <c r="AY19" s="12">
        <v>0</v>
      </c>
      <c r="AZ19" s="12">
        <v>-230050.12012415589</v>
      </c>
      <c r="BA19" s="12">
        <v>0</v>
      </c>
      <c r="BB19" s="12">
        <v>0</v>
      </c>
      <c r="BC19" s="12">
        <v>-230051.67730745545</v>
      </c>
      <c r="BD19" s="12">
        <v>-230051.67730745545</v>
      </c>
      <c r="BE19" s="56"/>
      <c r="BF19" s="57"/>
      <c r="BG19" s="57"/>
      <c r="BH19" s="57"/>
      <c r="BI19" s="57"/>
    </row>
    <row r="20" spans="1:63" ht="14.45" customHeight="1" x14ac:dyDescent="0.25">
      <c r="A20" s="11">
        <f t="shared" si="0"/>
        <v>16</v>
      </c>
      <c r="B20" s="11" t="s">
        <v>66</v>
      </c>
      <c r="C20" s="15">
        <v>0</v>
      </c>
      <c r="D20" s="15">
        <v>0</v>
      </c>
      <c r="E20" s="15">
        <v>5</v>
      </c>
      <c r="F20" s="15">
        <v>25</v>
      </c>
      <c r="G20" s="15">
        <f t="shared" si="1"/>
        <v>15</v>
      </c>
      <c r="H20" s="15">
        <f t="shared" si="1"/>
        <v>15</v>
      </c>
      <c r="I20" s="15">
        <v>240</v>
      </c>
      <c r="J20" s="15">
        <v>12</v>
      </c>
      <c r="K20" s="15">
        <v>-4</v>
      </c>
      <c r="L20" s="15">
        <f>L8</f>
        <v>24</v>
      </c>
      <c r="M20" s="17">
        <v>0</v>
      </c>
      <c r="N20" s="15">
        <v>300</v>
      </c>
      <c r="O20" s="15">
        <v>1</v>
      </c>
      <c r="P20" s="15">
        <v>1</v>
      </c>
      <c r="Q20" s="15">
        <v>0</v>
      </c>
      <c r="R20" s="15">
        <v>0</v>
      </c>
      <c r="S20" s="15"/>
      <c r="T20" s="15"/>
      <c r="U20" s="15"/>
      <c r="V20" s="15"/>
      <c r="W20" s="15">
        <v>1</v>
      </c>
      <c r="X20" s="15">
        <v>1</v>
      </c>
      <c r="Y20" s="15">
        <v>0</v>
      </c>
      <c r="Z20" s="15">
        <v>0</v>
      </c>
      <c r="AB20" s="20">
        <v>16</v>
      </c>
      <c r="AC20" s="12">
        <v>-157097.57014945557</v>
      </c>
      <c r="AD20" s="16">
        <v>-43.638213930404326</v>
      </c>
      <c r="AE20" s="14">
        <v>2.5946600078797544</v>
      </c>
      <c r="AF20" s="14">
        <v>2.5946600078797544</v>
      </c>
      <c r="AG20" s="14">
        <v>21.818470935644324</v>
      </c>
      <c r="AH20" s="12">
        <v>-157097.56994077671</v>
      </c>
      <c r="AI20" s="14">
        <v>-43.638213872437973</v>
      </c>
      <c r="AJ20" s="14">
        <v>2.5946600072158592</v>
      </c>
      <c r="AK20" s="14">
        <v>2.5946600072158592</v>
      </c>
      <c r="AL20" s="14">
        <v>8.1815290823929683</v>
      </c>
      <c r="AM20" s="12">
        <v>3600</v>
      </c>
      <c r="AN20" s="12">
        <v>1500</v>
      </c>
      <c r="AO20" s="12">
        <v>1500</v>
      </c>
      <c r="AP20" s="12">
        <v>1500</v>
      </c>
      <c r="AQ20" s="16">
        <v>0.81191562304347387</v>
      </c>
      <c r="AR20" s="16">
        <v>-0.68184709220970541</v>
      </c>
      <c r="AS20" s="14">
        <v>21.818470935644324</v>
      </c>
      <c r="AT20" s="14">
        <v>8.1815290823929718</v>
      </c>
      <c r="AU20" s="14">
        <v>8.1815290823929718</v>
      </c>
      <c r="AV20" s="14">
        <v>21.81847091752984</v>
      </c>
      <c r="AW20" s="12">
        <v>0</v>
      </c>
      <c r="AX20" s="12">
        <v>-157097.57014945557</v>
      </c>
      <c r="AY20" s="12">
        <v>0</v>
      </c>
      <c r="AZ20" s="12">
        <v>-157097.57014945557</v>
      </c>
      <c r="BA20" s="12">
        <v>0</v>
      </c>
      <c r="BB20" s="12">
        <v>0</v>
      </c>
      <c r="BC20" s="12">
        <v>-157097.56994077671</v>
      </c>
      <c r="BD20" s="12">
        <v>-157097.56994077671</v>
      </c>
      <c r="BE20" s="56"/>
      <c r="BF20" s="57"/>
      <c r="BG20" s="57"/>
      <c r="BH20" s="57"/>
      <c r="BI20" s="57"/>
      <c r="BK20" s="15"/>
    </row>
    <row r="21" spans="1:63" ht="14.45" customHeight="1" x14ac:dyDescent="0.25">
      <c r="A21" s="11">
        <f t="shared" si="0"/>
        <v>17</v>
      </c>
      <c r="B21" s="11" t="s">
        <v>66</v>
      </c>
      <c r="C21" s="15">
        <v>0</v>
      </c>
      <c r="D21" s="15">
        <v>0</v>
      </c>
      <c r="E21" s="15">
        <v>5</v>
      </c>
      <c r="F21" s="15">
        <v>25</v>
      </c>
      <c r="G21" s="15">
        <f t="shared" si="1"/>
        <v>15</v>
      </c>
      <c r="H21" s="15">
        <f t="shared" si="1"/>
        <v>15</v>
      </c>
      <c r="I21" s="15">
        <v>240</v>
      </c>
      <c r="J21" s="15">
        <v>12</v>
      </c>
      <c r="K21" s="15">
        <v>-4</v>
      </c>
      <c r="L21" s="15">
        <f>L20</f>
        <v>24</v>
      </c>
      <c r="M21" s="15">
        <v>300</v>
      </c>
      <c r="N21" s="17">
        <v>0</v>
      </c>
      <c r="O21" s="15">
        <v>1</v>
      </c>
      <c r="P21" s="15">
        <v>1</v>
      </c>
      <c r="Q21" s="15">
        <v>0</v>
      </c>
      <c r="R21" s="15">
        <v>0</v>
      </c>
      <c r="S21" s="15"/>
      <c r="T21" s="15"/>
      <c r="U21" s="15"/>
      <c r="V21" s="15"/>
      <c r="W21" s="15">
        <v>1</v>
      </c>
      <c r="X21" s="15">
        <v>1</v>
      </c>
      <c r="Y21" s="15">
        <v>0</v>
      </c>
      <c r="Z21" s="15">
        <v>0</v>
      </c>
      <c r="AB21" s="20">
        <v>17</v>
      </c>
      <c r="AC21" s="12">
        <v>-157097.57014945557</v>
      </c>
      <c r="AD21" s="16">
        <v>-43.638213930404326</v>
      </c>
      <c r="AE21" s="14">
        <v>2.5946600078797544</v>
      </c>
      <c r="AF21" s="14">
        <v>2.5946600078797544</v>
      </c>
      <c r="AG21" s="14">
        <v>21.818470935644324</v>
      </c>
      <c r="AH21" s="12">
        <v>-157097.56994077671</v>
      </c>
      <c r="AI21" s="14">
        <v>-43.638213872437973</v>
      </c>
      <c r="AJ21" s="14">
        <v>2.5946600072158592</v>
      </c>
      <c r="AK21" s="14">
        <v>2.5946600072158592</v>
      </c>
      <c r="AL21" s="14">
        <v>8.1815290823929683</v>
      </c>
      <c r="AM21" s="12">
        <v>3600</v>
      </c>
      <c r="AN21" s="12">
        <v>1500</v>
      </c>
      <c r="AO21" s="12">
        <v>1500</v>
      </c>
      <c r="AP21" s="12">
        <v>1500</v>
      </c>
      <c r="AQ21" s="16">
        <v>0.81191562304347387</v>
      </c>
      <c r="AR21" s="16">
        <v>-0.68184709220970541</v>
      </c>
      <c r="AS21" s="14">
        <v>21.818470935644324</v>
      </c>
      <c r="AT21" s="14">
        <v>8.1815290823929718</v>
      </c>
      <c r="AU21" s="14">
        <v>8.1815290823929718</v>
      </c>
      <c r="AV21" s="14">
        <v>21.81847091752984</v>
      </c>
      <c r="AW21" s="12">
        <v>0</v>
      </c>
      <c r="AX21" s="12">
        <v>-157097.57014945557</v>
      </c>
      <c r="AY21" s="12">
        <v>0</v>
      </c>
      <c r="AZ21" s="12">
        <v>-157097.57014945557</v>
      </c>
      <c r="BA21" s="12">
        <v>0</v>
      </c>
      <c r="BB21" s="12">
        <v>0</v>
      </c>
      <c r="BC21" s="12">
        <v>-157097.56994077671</v>
      </c>
      <c r="BD21" s="12">
        <v>-157097.56994077671</v>
      </c>
      <c r="BE21" s="56"/>
      <c r="BF21" s="57"/>
      <c r="BG21" s="57"/>
      <c r="BH21" s="57"/>
      <c r="BI21" s="57"/>
    </row>
    <row r="22" spans="1:63" ht="14.45" customHeight="1" x14ac:dyDescent="0.25">
      <c r="A22" s="11">
        <f t="shared" si="0"/>
        <v>18</v>
      </c>
      <c r="B22" s="11" t="s">
        <v>66</v>
      </c>
      <c r="C22" s="15">
        <v>0</v>
      </c>
      <c r="D22" s="15">
        <v>0</v>
      </c>
      <c r="E22" s="15">
        <v>5</v>
      </c>
      <c r="F22" s="15">
        <v>25</v>
      </c>
      <c r="G22" s="15">
        <f t="shared" si="1"/>
        <v>15</v>
      </c>
      <c r="H22" s="15">
        <f t="shared" si="1"/>
        <v>15</v>
      </c>
      <c r="I22" s="15">
        <v>240</v>
      </c>
      <c r="J22" s="15">
        <v>12</v>
      </c>
      <c r="K22" s="15">
        <v>-4</v>
      </c>
      <c r="L22" s="17">
        <v>14.4</v>
      </c>
      <c r="M22" s="15">
        <v>300</v>
      </c>
      <c r="N22" s="15">
        <v>300</v>
      </c>
      <c r="O22" s="17">
        <v>0.5</v>
      </c>
      <c r="P22" s="15">
        <v>1</v>
      </c>
      <c r="Q22" s="15">
        <v>0</v>
      </c>
      <c r="R22" s="15">
        <v>0</v>
      </c>
      <c r="S22" s="15"/>
      <c r="T22" s="15"/>
      <c r="U22" s="15"/>
      <c r="V22" s="15"/>
      <c r="W22" s="15">
        <v>1</v>
      </c>
      <c r="X22" s="15">
        <v>1</v>
      </c>
      <c r="Y22" s="15">
        <v>0</v>
      </c>
      <c r="Z22" s="15">
        <v>0</v>
      </c>
      <c r="AB22" s="20">
        <v>18</v>
      </c>
      <c r="AC22" s="12">
        <v>-123539.31436382832</v>
      </c>
      <c r="AD22" s="16">
        <v>-20.589885727304722</v>
      </c>
      <c r="AE22" s="14">
        <v>1.3403173468018938</v>
      </c>
      <c r="AF22" s="14">
        <v>1.3403173468018938</v>
      </c>
      <c r="AG22" s="14">
        <v>20.361948255339573</v>
      </c>
      <c r="AH22" s="12">
        <v>-123539.33878502547</v>
      </c>
      <c r="AI22" s="14">
        <v>-20.589889797504245</v>
      </c>
      <c r="AJ22" s="14">
        <v>1.3403174105913069</v>
      </c>
      <c r="AK22" s="14">
        <v>1.3403174105913069</v>
      </c>
      <c r="AL22" s="14">
        <v>9.6380494390350293</v>
      </c>
      <c r="AM22" s="12">
        <v>6000</v>
      </c>
      <c r="AN22" s="12">
        <v>1200</v>
      </c>
      <c r="AO22" s="12">
        <v>1200</v>
      </c>
      <c r="AP22" s="12">
        <v>1200</v>
      </c>
      <c r="AQ22" s="16">
        <v>1.0148945288043423</v>
      </c>
      <c r="AR22" s="16">
        <v>-0.5361949938126167</v>
      </c>
      <c r="AS22" s="14">
        <v>20.361948255339573</v>
      </c>
      <c r="AT22" s="14">
        <v>9.6380494390350311</v>
      </c>
      <c r="AU22" s="14">
        <v>9.6380494390350311</v>
      </c>
      <c r="AV22" s="14">
        <v>20.36195037523516</v>
      </c>
      <c r="AW22" s="12">
        <v>0</v>
      </c>
      <c r="AX22" s="12">
        <v>-123539.31436382832</v>
      </c>
      <c r="AY22" s="12">
        <v>0</v>
      </c>
      <c r="AZ22" s="12">
        <v>-123539.31436382832</v>
      </c>
      <c r="BA22" s="12">
        <v>0</v>
      </c>
      <c r="BB22" s="12">
        <v>0</v>
      </c>
      <c r="BC22" s="12">
        <v>-123539.33878502547</v>
      </c>
      <c r="BD22" s="12">
        <v>-123539.33878502547</v>
      </c>
      <c r="BE22" s="56"/>
      <c r="BF22" s="57"/>
      <c r="BG22" s="57"/>
      <c r="BH22" s="57"/>
      <c r="BI22" s="57"/>
    </row>
    <row r="23" spans="1:63" ht="14.45" customHeight="1" x14ac:dyDescent="0.25">
      <c r="A23" s="11">
        <f t="shared" si="0"/>
        <v>19</v>
      </c>
      <c r="B23" s="11" t="s">
        <v>66</v>
      </c>
      <c r="C23" s="15">
        <v>0</v>
      </c>
      <c r="D23" s="15">
        <v>0</v>
      </c>
      <c r="E23" s="15">
        <v>5</v>
      </c>
      <c r="F23" s="15">
        <v>25</v>
      </c>
      <c r="G23" s="15">
        <f t="shared" si="1"/>
        <v>15</v>
      </c>
      <c r="H23" s="15">
        <f t="shared" si="1"/>
        <v>15</v>
      </c>
      <c r="I23" s="15">
        <v>240</v>
      </c>
      <c r="J23" s="15">
        <v>12</v>
      </c>
      <c r="K23" s="15">
        <v>-4</v>
      </c>
      <c r="L23" s="15">
        <f>L21</f>
        <v>24</v>
      </c>
      <c r="M23" s="15">
        <v>300</v>
      </c>
      <c r="N23" s="15">
        <v>300</v>
      </c>
      <c r="O23" s="15">
        <v>1</v>
      </c>
      <c r="P23" s="17">
        <v>0.5</v>
      </c>
      <c r="Q23" s="15">
        <v>0</v>
      </c>
      <c r="R23" s="15">
        <v>0</v>
      </c>
      <c r="S23" s="15"/>
      <c r="T23" s="15"/>
      <c r="U23" s="15"/>
      <c r="V23" s="15"/>
      <c r="W23" s="15">
        <v>1</v>
      </c>
      <c r="X23" s="15">
        <v>1</v>
      </c>
      <c r="Y23" s="15">
        <v>0</v>
      </c>
      <c r="Z23" s="15">
        <v>0</v>
      </c>
      <c r="AB23" s="20">
        <v>19</v>
      </c>
      <c r="AC23" s="12">
        <v>-88989.241769432687</v>
      </c>
      <c r="AD23" s="16">
        <v>-24.719233824842412</v>
      </c>
      <c r="AE23" s="14">
        <v>1.3887071966076192</v>
      </c>
      <c r="AF23" s="14">
        <v>1.3887071966076192</v>
      </c>
      <c r="AG23" s="14">
        <v>22.800176945310998</v>
      </c>
      <c r="AH23" s="12">
        <v>-88988.557709508605</v>
      </c>
      <c r="AI23" s="14">
        <v>-24.719043808196833</v>
      </c>
      <c r="AJ23" s="14">
        <v>2.4906882487289992</v>
      </c>
      <c r="AK23" s="14">
        <v>2.4906882487289992</v>
      </c>
      <c r="AL23" s="14">
        <v>15.075416375047745</v>
      </c>
      <c r="AM23" s="12">
        <v>3600</v>
      </c>
      <c r="AN23" s="12">
        <v>1200</v>
      </c>
      <c r="AO23" s="12">
        <v>600</v>
      </c>
      <c r="AP23" s="12">
        <v>1800</v>
      </c>
      <c r="AQ23" s="16">
        <v>1.0148945288043423</v>
      </c>
      <c r="AR23" s="16">
        <v>-0.38623654400811913</v>
      </c>
      <c r="AS23" s="14">
        <v>22.800176945310998</v>
      </c>
      <c r="AT23" s="14">
        <v>15.075416375047745</v>
      </c>
      <c r="AU23" s="14">
        <v>15.075416375047745</v>
      </c>
      <c r="AV23" s="14">
        <v>22.800117565109254</v>
      </c>
      <c r="AW23" s="12">
        <v>0</v>
      </c>
      <c r="AX23" s="12">
        <v>-88989.241769432687</v>
      </c>
      <c r="AY23" s="12">
        <v>0</v>
      </c>
      <c r="AZ23" s="12">
        <v>-88989.241769432687</v>
      </c>
      <c r="BA23" s="12">
        <v>0</v>
      </c>
      <c r="BB23" s="12">
        <v>0</v>
      </c>
      <c r="BC23" s="12">
        <v>-88988.557709508605</v>
      </c>
      <c r="BD23" s="12">
        <v>-88988.557709508605</v>
      </c>
      <c r="BE23" s="56"/>
      <c r="BF23" s="57"/>
      <c r="BG23" s="57"/>
      <c r="BH23" s="57"/>
      <c r="BI23" s="57"/>
    </row>
    <row r="24" spans="1:63" ht="14.45" customHeight="1" x14ac:dyDescent="0.25">
      <c r="A24" s="11">
        <f t="shared" si="0"/>
        <v>20</v>
      </c>
      <c r="B24" s="11" t="s">
        <v>66</v>
      </c>
      <c r="C24" s="15">
        <v>0</v>
      </c>
      <c r="D24" s="15">
        <v>0</v>
      </c>
      <c r="E24" s="15">
        <v>5</v>
      </c>
      <c r="F24" s="15">
        <v>25</v>
      </c>
      <c r="G24" s="15">
        <f t="shared" si="1"/>
        <v>15</v>
      </c>
      <c r="H24" s="15">
        <f t="shared" si="1"/>
        <v>15</v>
      </c>
      <c r="I24" s="15">
        <v>240</v>
      </c>
      <c r="J24" s="15">
        <v>12</v>
      </c>
      <c r="K24" s="15">
        <v>-4</v>
      </c>
      <c r="L24" s="15">
        <f t="shared" ref="L24:L36" si="3">L23</f>
        <v>24</v>
      </c>
      <c r="M24" s="15">
        <v>300</v>
      </c>
      <c r="N24" s="15">
        <v>300</v>
      </c>
      <c r="O24" s="15">
        <v>1</v>
      </c>
      <c r="P24" s="17">
        <v>1.5</v>
      </c>
      <c r="Q24" s="15">
        <v>0</v>
      </c>
      <c r="R24" s="15">
        <v>0</v>
      </c>
      <c r="S24" s="15"/>
      <c r="T24" s="15"/>
      <c r="U24" s="15"/>
      <c r="V24" s="15"/>
      <c r="W24" s="15">
        <v>1</v>
      </c>
      <c r="X24" s="15">
        <v>1</v>
      </c>
      <c r="Y24" s="15">
        <v>0</v>
      </c>
      <c r="Z24" s="15">
        <v>0</v>
      </c>
      <c r="AB24" s="20">
        <v>20</v>
      </c>
      <c r="AC24" s="12">
        <v>-88988.845092656804</v>
      </c>
      <c r="AD24" s="16">
        <v>-24.719123636849112</v>
      </c>
      <c r="AE24" s="14">
        <v>2.4906899268985905</v>
      </c>
      <c r="AF24" s="14">
        <v>2.4906899268985905</v>
      </c>
      <c r="AG24" s="14">
        <v>14.924608988815157</v>
      </c>
      <c r="AH24" s="12">
        <v>-88988.812884138213</v>
      </c>
      <c r="AI24" s="14">
        <v>-24.719114690038392</v>
      </c>
      <c r="AJ24" s="14">
        <v>1.3887051689000907</v>
      </c>
      <c r="AK24" s="14">
        <v>1.3887051689000907</v>
      </c>
      <c r="AL24" s="14">
        <v>7.1998828522998082</v>
      </c>
      <c r="AM24" s="12">
        <v>3600</v>
      </c>
      <c r="AN24" s="12">
        <v>1200</v>
      </c>
      <c r="AO24" s="12">
        <v>1800</v>
      </c>
      <c r="AP24" s="12">
        <v>600</v>
      </c>
      <c r="AQ24" s="16">
        <v>1.0148945288043423</v>
      </c>
      <c r="AR24" s="16">
        <v>-0.38623623692880865</v>
      </c>
      <c r="AS24" s="14">
        <v>14.924608988815155</v>
      </c>
      <c r="AT24" s="14">
        <v>7.1998828522998073</v>
      </c>
      <c r="AU24" s="14">
        <v>7.1998828522998073</v>
      </c>
      <c r="AV24" s="14">
        <v>14.924606192936805</v>
      </c>
      <c r="AW24" s="12">
        <v>0</v>
      </c>
      <c r="AX24" s="12">
        <v>-88988.845092656804</v>
      </c>
      <c r="AY24" s="12">
        <v>0</v>
      </c>
      <c r="AZ24" s="12">
        <v>-88988.845092656804</v>
      </c>
      <c r="BA24" s="12">
        <v>0</v>
      </c>
      <c r="BB24" s="12">
        <v>0</v>
      </c>
      <c r="BC24" s="12">
        <v>-88988.812884138213</v>
      </c>
      <c r="BD24" s="12">
        <v>-88988.812884138213</v>
      </c>
      <c r="BE24" s="56"/>
      <c r="BF24" s="57"/>
      <c r="BG24" s="57"/>
      <c r="BH24" s="57"/>
      <c r="BI24" s="57"/>
    </row>
    <row r="25" spans="1:63" ht="14.45" customHeight="1" x14ac:dyDescent="0.25">
      <c r="A25" s="11">
        <f t="shared" si="0"/>
        <v>21</v>
      </c>
      <c r="B25" s="11" t="s">
        <v>66</v>
      </c>
      <c r="C25" s="15">
        <v>0</v>
      </c>
      <c r="D25" s="15">
        <v>0</v>
      </c>
      <c r="E25" s="15">
        <v>5</v>
      </c>
      <c r="F25" s="15">
        <v>25</v>
      </c>
      <c r="G25" s="15">
        <f t="shared" si="1"/>
        <v>15</v>
      </c>
      <c r="H25" s="15">
        <f t="shared" si="1"/>
        <v>15</v>
      </c>
      <c r="I25" s="15">
        <v>240</v>
      </c>
      <c r="J25" s="15">
        <v>12</v>
      </c>
      <c r="K25" s="15">
        <v>-4</v>
      </c>
      <c r="L25" s="15">
        <f t="shared" si="3"/>
        <v>24</v>
      </c>
      <c r="M25" s="15">
        <v>300</v>
      </c>
      <c r="N25" s="15">
        <v>300</v>
      </c>
      <c r="O25" s="15">
        <v>1</v>
      </c>
      <c r="P25" s="15">
        <v>1</v>
      </c>
      <c r="Q25" s="66">
        <v>5000</v>
      </c>
      <c r="R25" s="15">
        <v>0</v>
      </c>
      <c r="S25" s="15"/>
      <c r="T25" s="15"/>
      <c r="U25" s="15"/>
      <c r="V25" s="15"/>
      <c r="W25" s="15">
        <v>1</v>
      </c>
      <c r="X25" s="15">
        <v>1</v>
      </c>
      <c r="Y25" s="15">
        <v>0</v>
      </c>
      <c r="Z25" s="15">
        <v>0</v>
      </c>
      <c r="AB25" s="20">
        <v>21</v>
      </c>
      <c r="AC25" s="12">
        <v>-31880.991547322657</v>
      </c>
      <c r="AD25" s="16">
        <v>-8.8558309853674047</v>
      </c>
      <c r="AE25" s="14">
        <v>3.2143534275936414</v>
      </c>
      <c r="AF25" s="14">
        <v>1.8254645387047523</v>
      </c>
      <c r="AG25" s="14">
        <v>13.655481985436344</v>
      </c>
      <c r="AH25" s="12">
        <v>-31881.013887255656</v>
      </c>
      <c r="AI25" s="14">
        <v>-8.8558371909043494</v>
      </c>
      <c r="AJ25" s="14">
        <v>2.2749352778802661</v>
      </c>
      <c r="AK25" s="14">
        <v>3.6638241667691545</v>
      </c>
      <c r="AL25" s="14">
        <v>13.105854039509021</v>
      </c>
      <c r="AM25" s="12">
        <v>3600</v>
      </c>
      <c r="AN25" s="12">
        <v>1200</v>
      </c>
      <c r="AO25" s="12">
        <v>1200</v>
      </c>
      <c r="AP25" s="12">
        <v>1200</v>
      </c>
      <c r="AQ25" s="16">
        <v>1.0148945288043423</v>
      </c>
      <c r="AR25" s="16">
        <v>-0.13837240762712308</v>
      </c>
      <c r="AS25" s="14">
        <v>20.293121544820043</v>
      </c>
      <c r="AT25" s="14">
        <v>8.7178959136201399</v>
      </c>
      <c r="AU25" s="14">
        <v>8.7178959136201399</v>
      </c>
      <c r="AV25" s="14">
        <v>20.293124971190135</v>
      </c>
      <c r="AW25" s="12">
        <v>0</v>
      </c>
      <c r="AX25" s="12">
        <v>-31880.991547322657</v>
      </c>
      <c r="AY25" s="12">
        <v>0</v>
      </c>
      <c r="AZ25" s="12">
        <v>-31880.991547322657</v>
      </c>
      <c r="BA25" s="12">
        <v>0</v>
      </c>
      <c r="BB25" s="12">
        <v>0</v>
      </c>
      <c r="BC25" s="12">
        <v>-31881.013887255656</v>
      </c>
      <c r="BD25" s="12">
        <v>-31881.013887255656</v>
      </c>
      <c r="BE25" s="56"/>
      <c r="BF25" s="57"/>
      <c r="BG25" s="57"/>
      <c r="BH25" s="57"/>
      <c r="BI25" s="57"/>
    </row>
    <row r="26" spans="1:63" ht="14.45" customHeight="1" x14ac:dyDescent="0.25">
      <c r="A26" s="11">
        <f t="shared" si="0"/>
        <v>22</v>
      </c>
      <c r="B26" s="11" t="s">
        <v>66</v>
      </c>
      <c r="C26" s="15">
        <v>0</v>
      </c>
      <c r="D26" s="15">
        <v>0</v>
      </c>
      <c r="E26" s="15">
        <v>5</v>
      </c>
      <c r="F26" s="15">
        <v>25</v>
      </c>
      <c r="G26" s="15">
        <f t="shared" si="1"/>
        <v>15</v>
      </c>
      <c r="H26" s="15">
        <f t="shared" si="1"/>
        <v>15</v>
      </c>
      <c r="I26" s="15">
        <v>240</v>
      </c>
      <c r="J26" s="15">
        <v>12</v>
      </c>
      <c r="K26" s="15">
        <v>-4</v>
      </c>
      <c r="L26" s="15">
        <f t="shared" si="3"/>
        <v>24</v>
      </c>
      <c r="M26" s="15">
        <v>300</v>
      </c>
      <c r="N26" s="15">
        <v>300</v>
      </c>
      <c r="O26" s="15">
        <v>1</v>
      </c>
      <c r="P26" s="15">
        <v>1</v>
      </c>
      <c r="Q26" s="15">
        <v>0</v>
      </c>
      <c r="R26" s="17">
        <v>5000</v>
      </c>
      <c r="S26" s="15"/>
      <c r="T26" s="15"/>
      <c r="U26" s="15"/>
      <c r="V26" s="15"/>
      <c r="W26" s="15">
        <v>1</v>
      </c>
      <c r="X26" s="15">
        <v>1</v>
      </c>
      <c r="Y26" s="15">
        <v>0</v>
      </c>
      <c r="Z26" s="15">
        <v>0</v>
      </c>
      <c r="AB26" s="20">
        <v>22</v>
      </c>
      <c r="AC26" s="12">
        <v>-181880.94484014847</v>
      </c>
      <c r="AD26" s="16">
        <v>-50.522484677819023</v>
      </c>
      <c r="AE26" s="14">
        <v>2.2749350083354778</v>
      </c>
      <c r="AF26" s="14">
        <v>3.6638238972243662</v>
      </c>
      <c r="AG26" s="14">
        <v>16.894141600634342</v>
      </c>
      <c r="AH26" s="12">
        <v>-181881.01139724418</v>
      </c>
      <c r="AI26" s="14">
        <v>-50.522503165901163</v>
      </c>
      <c r="AJ26" s="14">
        <v>3.2143536040962144</v>
      </c>
      <c r="AK26" s="14">
        <v>1.8254647152073253</v>
      </c>
      <c r="AL26" s="14">
        <v>16.344515830926682</v>
      </c>
      <c r="AM26" s="12">
        <v>3600</v>
      </c>
      <c r="AN26" s="12">
        <v>1200</v>
      </c>
      <c r="AO26" s="12">
        <v>1200</v>
      </c>
      <c r="AP26" s="12">
        <v>1200</v>
      </c>
      <c r="AQ26" s="16">
        <v>1.0148945288043423</v>
      </c>
      <c r="AR26" s="16">
        <v>-0.78941396752906379</v>
      </c>
      <c r="AS26" s="14">
        <v>21.28209784830068</v>
      </c>
      <c r="AT26" s="14">
        <v>9.7068745969747514</v>
      </c>
      <c r="AU26" s="14">
        <v>9.7068745969747514</v>
      </c>
      <c r="AV26" s="14">
        <v>21.282103625826348</v>
      </c>
      <c r="AW26" s="12">
        <v>0</v>
      </c>
      <c r="AX26" s="12">
        <v>-181880.94484014847</v>
      </c>
      <c r="AY26" s="12">
        <v>0</v>
      </c>
      <c r="AZ26" s="12">
        <v>-181880.94484014847</v>
      </c>
      <c r="BA26" s="12">
        <v>0</v>
      </c>
      <c r="BB26" s="12">
        <v>0</v>
      </c>
      <c r="BC26" s="12">
        <v>-181881.01139724418</v>
      </c>
      <c r="BD26" s="12">
        <v>-181881.01139724418</v>
      </c>
      <c r="BE26" s="56"/>
      <c r="BF26" s="57"/>
      <c r="BG26" s="57"/>
      <c r="BH26" s="57"/>
      <c r="BI26" s="57"/>
    </row>
    <row r="27" spans="1:63" ht="14.45" customHeight="1" x14ac:dyDescent="0.25">
      <c r="A27" s="11">
        <f t="shared" si="0"/>
        <v>23</v>
      </c>
      <c r="B27" s="11" t="s">
        <v>66</v>
      </c>
      <c r="C27" s="15">
        <v>0</v>
      </c>
      <c r="D27" s="15">
        <v>0</v>
      </c>
      <c r="E27" s="15">
        <v>5</v>
      </c>
      <c r="F27" s="15">
        <v>25</v>
      </c>
      <c r="G27" s="15">
        <f t="shared" si="1"/>
        <v>15</v>
      </c>
      <c r="H27" s="15">
        <f t="shared" si="1"/>
        <v>15</v>
      </c>
      <c r="I27" s="15">
        <v>240</v>
      </c>
      <c r="J27" s="15">
        <v>12</v>
      </c>
      <c r="K27" s="15">
        <v>-4</v>
      </c>
      <c r="L27" s="15">
        <f t="shared" si="3"/>
        <v>24</v>
      </c>
      <c r="M27" s="15">
        <v>300</v>
      </c>
      <c r="N27" s="15">
        <v>300</v>
      </c>
      <c r="O27" s="15">
        <v>1</v>
      </c>
      <c r="P27" s="15">
        <v>1</v>
      </c>
      <c r="Q27" s="66">
        <v>5000</v>
      </c>
      <c r="R27" s="17">
        <v>5000</v>
      </c>
      <c r="S27" s="15"/>
      <c r="T27" s="15"/>
      <c r="U27" s="15"/>
      <c r="V27" s="15"/>
      <c r="W27" s="15">
        <v>1</v>
      </c>
      <c r="X27" s="15">
        <v>1</v>
      </c>
      <c r="Y27" s="15">
        <v>0</v>
      </c>
      <c r="Z27" s="15">
        <v>0</v>
      </c>
      <c r="AB27" s="20">
        <v>23</v>
      </c>
      <c r="AC27" s="12">
        <v>-80584.242896448675</v>
      </c>
      <c r="AD27" s="16">
        <v>-22.384511915680189</v>
      </c>
      <c r="AE27" s="14">
        <v>3.2539208677319662</v>
      </c>
      <c r="AF27" s="14">
        <v>3.2539208677319662</v>
      </c>
      <c r="AG27" s="14">
        <v>11.879242865940544</v>
      </c>
      <c r="AH27" s="12">
        <v>-80584.337974985698</v>
      </c>
      <c r="AI27" s="14">
        <v>-22.384538326384916</v>
      </c>
      <c r="AJ27" s="14">
        <v>3.2539215822915968</v>
      </c>
      <c r="AK27" s="14">
        <v>3.2539215822915968</v>
      </c>
      <c r="AL27" s="14">
        <v>18.120750528161022</v>
      </c>
      <c r="AM27" s="12">
        <v>3600</v>
      </c>
      <c r="AN27" s="12">
        <v>1200</v>
      </c>
      <c r="AO27" s="12">
        <v>1200</v>
      </c>
      <c r="AP27" s="12">
        <v>1200</v>
      </c>
      <c r="AQ27" s="16">
        <v>1.0148945288043423</v>
      </c>
      <c r="AR27" s="16">
        <v>-0.34975820501613358</v>
      </c>
      <c r="AS27" s="14">
        <v>21.179765021715983</v>
      </c>
      <c r="AT27" s="14">
        <v>8.8202185652054492</v>
      </c>
      <c r="AU27" s="14">
        <v>8.8202185652054492</v>
      </c>
      <c r="AV27" s="14">
        <v>21.179779604313687</v>
      </c>
      <c r="AW27" s="12">
        <v>0</v>
      </c>
      <c r="AX27" s="12">
        <v>-80584.242896448675</v>
      </c>
      <c r="AY27" s="12">
        <v>0</v>
      </c>
      <c r="AZ27" s="12">
        <v>-80584.242896448675</v>
      </c>
      <c r="BA27" s="12">
        <v>0</v>
      </c>
      <c r="BB27" s="12">
        <v>0</v>
      </c>
      <c r="BC27" s="12">
        <v>-80584.337974985698</v>
      </c>
      <c r="BD27" s="12">
        <v>-80584.337974985698</v>
      </c>
      <c r="BE27" s="56"/>
      <c r="BF27" s="57"/>
      <c r="BG27" s="57"/>
      <c r="BH27" s="57"/>
      <c r="BI27" s="57"/>
    </row>
    <row r="28" spans="1:63" ht="14.45" customHeight="1" x14ac:dyDescent="0.25">
      <c r="A28" s="11">
        <f t="shared" si="0"/>
        <v>24</v>
      </c>
      <c r="B28" s="11" t="s">
        <v>66</v>
      </c>
      <c r="C28" s="15">
        <v>0</v>
      </c>
      <c r="D28" s="15">
        <v>0</v>
      </c>
      <c r="E28" s="15">
        <v>5</v>
      </c>
      <c r="F28" s="15">
        <v>25</v>
      </c>
      <c r="G28" s="15">
        <f t="shared" si="1"/>
        <v>15</v>
      </c>
      <c r="H28" s="15">
        <f t="shared" si="1"/>
        <v>15</v>
      </c>
      <c r="I28" s="15">
        <v>240</v>
      </c>
      <c r="J28" s="15">
        <v>12</v>
      </c>
      <c r="K28" s="15">
        <v>-4</v>
      </c>
      <c r="L28" s="15">
        <f t="shared" si="3"/>
        <v>24</v>
      </c>
      <c r="M28" s="15">
        <v>300</v>
      </c>
      <c r="N28" s="15">
        <v>300</v>
      </c>
      <c r="O28" s="15">
        <v>1</v>
      </c>
      <c r="P28" s="15">
        <v>1</v>
      </c>
      <c r="Q28" s="15">
        <v>0</v>
      </c>
      <c r="R28" s="15">
        <v>0</v>
      </c>
      <c r="S28" s="15"/>
      <c r="T28" s="15"/>
      <c r="U28" s="15"/>
      <c r="V28" s="15"/>
      <c r="W28" s="17">
        <v>0.5</v>
      </c>
      <c r="X28" s="17">
        <v>0.5</v>
      </c>
      <c r="Y28" s="15">
        <v>0</v>
      </c>
      <c r="Z28" s="15">
        <v>0</v>
      </c>
      <c r="AB28" s="20">
        <v>24</v>
      </c>
      <c r="AC28" s="12">
        <v>-51875.708463025498</v>
      </c>
      <c r="AD28" s="16">
        <v>-14.409919017507082</v>
      </c>
      <c r="AE28" s="14">
        <v>1.1761747998899281</v>
      </c>
      <c r="AF28" s="14">
        <v>1.1761747998899281</v>
      </c>
      <c r="AG28" s="14">
        <v>17.251511441033792</v>
      </c>
      <c r="AH28" s="12">
        <v>-51876.181249573063</v>
      </c>
      <c r="AI28" s="14">
        <v>-14.410050347103629</v>
      </c>
      <c r="AJ28" s="14">
        <v>1.1761781452968085</v>
      </c>
      <c r="AK28" s="14">
        <v>1.1761781452968085</v>
      </c>
      <c r="AL28" s="14">
        <v>12.748411748062829</v>
      </c>
      <c r="AM28" s="12">
        <v>3600</v>
      </c>
      <c r="AN28" s="12">
        <v>1200</v>
      </c>
      <c r="AO28" s="12">
        <v>1200</v>
      </c>
      <c r="AP28" s="12">
        <v>1200</v>
      </c>
      <c r="AQ28" s="16">
        <v>1.0148945288043423</v>
      </c>
      <c r="AR28" s="16">
        <v>-0.22515601066102117</v>
      </c>
      <c r="AS28" s="14">
        <v>17.251511441033792</v>
      </c>
      <c r="AT28" s="14">
        <v>12.74841174806283</v>
      </c>
      <c r="AU28" s="14">
        <v>12.74841174806283</v>
      </c>
      <c r="AV28" s="14">
        <v>17.251552481532716</v>
      </c>
      <c r="AW28" s="12">
        <v>0</v>
      </c>
      <c r="AX28" s="12">
        <v>-51875.708463025498</v>
      </c>
      <c r="AY28" s="12">
        <v>0</v>
      </c>
      <c r="AZ28" s="12">
        <v>-51875.708463025498</v>
      </c>
      <c r="BA28" s="12">
        <v>0</v>
      </c>
      <c r="BB28" s="12">
        <v>0</v>
      </c>
      <c r="BC28" s="12">
        <v>-51876.181249573063</v>
      </c>
      <c r="BD28" s="12">
        <v>-51876.181249573063</v>
      </c>
      <c r="BE28" s="56"/>
      <c r="BF28" s="57"/>
      <c r="BG28" s="57"/>
      <c r="BH28" s="57"/>
      <c r="BI28" s="57"/>
    </row>
    <row r="29" spans="1:63" ht="14.45" customHeight="1" x14ac:dyDescent="0.25">
      <c r="A29" s="11">
        <f t="shared" si="0"/>
        <v>25</v>
      </c>
      <c r="B29" s="11" t="s">
        <v>66</v>
      </c>
      <c r="C29" s="15">
        <v>0</v>
      </c>
      <c r="D29" s="15">
        <v>0</v>
      </c>
      <c r="E29" s="15">
        <v>5</v>
      </c>
      <c r="F29" s="15">
        <v>25</v>
      </c>
      <c r="G29" s="15">
        <f t="shared" si="1"/>
        <v>15</v>
      </c>
      <c r="H29" s="15">
        <f t="shared" si="1"/>
        <v>15</v>
      </c>
      <c r="I29" s="15">
        <v>240</v>
      </c>
      <c r="J29" s="15">
        <v>12</v>
      </c>
      <c r="K29" s="15">
        <v>-4</v>
      </c>
      <c r="L29" s="15">
        <f t="shared" si="3"/>
        <v>24</v>
      </c>
      <c r="M29" s="15">
        <v>300</v>
      </c>
      <c r="N29" s="15">
        <v>300</v>
      </c>
      <c r="O29" s="15">
        <v>1</v>
      </c>
      <c r="P29" s="15">
        <v>1</v>
      </c>
      <c r="Q29" s="15">
        <v>0</v>
      </c>
      <c r="R29" s="15">
        <v>0</v>
      </c>
      <c r="S29" s="15"/>
      <c r="T29" s="15"/>
      <c r="U29" s="15"/>
      <c r="V29" s="15"/>
      <c r="W29" s="17">
        <v>0.25</v>
      </c>
      <c r="X29" s="17">
        <v>0.25</v>
      </c>
      <c r="Y29" s="15">
        <v>0</v>
      </c>
      <c r="Z29" s="15">
        <v>0</v>
      </c>
      <c r="AB29" s="20">
        <v>25</v>
      </c>
      <c r="AC29" s="12">
        <v>-22872.236387674871</v>
      </c>
      <c r="AD29" s="16">
        <v>-6.3533989965763533</v>
      </c>
      <c r="AE29" s="14">
        <v>0.57797747800718036</v>
      </c>
      <c r="AF29" s="14">
        <v>0.57797747800718036</v>
      </c>
      <c r="AG29" s="14">
        <v>15.992468112221882</v>
      </c>
      <c r="AH29" s="12">
        <v>-22873.788536403132</v>
      </c>
      <c r="AI29" s="14">
        <v>-6.3538301490008697</v>
      </c>
      <c r="AJ29" s="14">
        <v>0.5779903596661855</v>
      </c>
      <c r="AK29" s="14">
        <v>0.5779903596661855</v>
      </c>
      <c r="AL29" s="14">
        <v>14.007030925791771</v>
      </c>
      <c r="AM29" s="12">
        <v>3600</v>
      </c>
      <c r="AN29" s="12">
        <v>1200</v>
      </c>
      <c r="AO29" s="12">
        <v>1200</v>
      </c>
      <c r="AP29" s="12">
        <v>1200</v>
      </c>
      <c r="AQ29" s="16">
        <v>1.0148945288043423</v>
      </c>
      <c r="AR29" s="16">
        <v>-9.9275227699822055E-2</v>
      </c>
      <c r="AS29" s="14">
        <v>15.99246811222188</v>
      </c>
      <c r="AT29" s="14">
        <v>14.007030925791769</v>
      </c>
      <c r="AU29" s="14">
        <v>14.007030925791769</v>
      </c>
      <c r="AV29" s="14">
        <v>15.99260284735454</v>
      </c>
      <c r="AW29" s="12">
        <v>0</v>
      </c>
      <c r="AX29" s="12">
        <v>-22872.236387674871</v>
      </c>
      <c r="AY29" s="12">
        <v>0</v>
      </c>
      <c r="AZ29" s="12">
        <v>-22872.236387674871</v>
      </c>
      <c r="BA29" s="12">
        <v>0</v>
      </c>
      <c r="BB29" s="12">
        <v>0</v>
      </c>
      <c r="BC29" s="12">
        <v>-22873.788536403132</v>
      </c>
      <c r="BD29" s="12">
        <v>-22873.788536403132</v>
      </c>
      <c r="BE29" s="56"/>
      <c r="BF29" s="57"/>
      <c r="BG29" s="57"/>
      <c r="BH29" s="57"/>
      <c r="BI29" s="57"/>
    </row>
    <row r="30" spans="1:63" ht="14.45" customHeight="1" x14ac:dyDescent="0.25">
      <c r="A30" s="11">
        <f t="shared" si="0"/>
        <v>26</v>
      </c>
      <c r="B30" s="11" t="s">
        <v>66</v>
      </c>
      <c r="C30" s="15">
        <v>0</v>
      </c>
      <c r="D30" s="15">
        <v>0</v>
      </c>
      <c r="E30" s="15">
        <v>5</v>
      </c>
      <c r="F30" s="15">
        <v>25</v>
      </c>
      <c r="G30" s="15">
        <f t="shared" si="1"/>
        <v>15</v>
      </c>
      <c r="H30" s="15">
        <f t="shared" si="1"/>
        <v>15</v>
      </c>
      <c r="I30" s="15">
        <v>240</v>
      </c>
      <c r="J30" s="15">
        <v>12</v>
      </c>
      <c r="K30" s="15">
        <v>-4</v>
      </c>
      <c r="L30" s="15">
        <f t="shared" si="3"/>
        <v>24</v>
      </c>
      <c r="M30" s="15">
        <v>300</v>
      </c>
      <c r="N30" s="15">
        <v>300</v>
      </c>
      <c r="O30" s="15">
        <v>1</v>
      </c>
      <c r="P30" s="15">
        <v>1</v>
      </c>
      <c r="Q30" s="15">
        <v>0</v>
      </c>
      <c r="R30" s="15">
        <v>0</v>
      </c>
      <c r="S30" s="15"/>
      <c r="T30" s="15"/>
      <c r="U30" s="15"/>
      <c r="V30" s="15"/>
      <c r="W30" s="15">
        <v>1</v>
      </c>
      <c r="X30" s="15">
        <v>1</v>
      </c>
      <c r="Y30" s="17">
        <v>1</v>
      </c>
      <c r="Z30" s="15">
        <v>0</v>
      </c>
      <c r="AB30" s="20">
        <v>26</v>
      </c>
      <c r="AC30" s="12">
        <v>-123539.31436382832</v>
      </c>
      <c r="AD30" s="16">
        <v>-34.316476212174535</v>
      </c>
      <c r="AE30" s="14">
        <v>2.2338622446698233</v>
      </c>
      <c r="AF30" s="14">
        <v>2.2338622446698233</v>
      </c>
      <c r="AG30" s="14">
        <v>20.361948255339573</v>
      </c>
      <c r="AH30" s="12">
        <v>-123539.33878502547</v>
      </c>
      <c r="AI30" s="14">
        <v>-34.31648299584041</v>
      </c>
      <c r="AJ30" s="14">
        <v>2.2338623509855116</v>
      </c>
      <c r="AK30" s="14">
        <v>2.2338623509855116</v>
      </c>
      <c r="AL30" s="14">
        <v>9.6380494390350293</v>
      </c>
      <c r="AM30" s="12">
        <v>3600</v>
      </c>
      <c r="AN30" s="12">
        <v>1200</v>
      </c>
      <c r="AO30" s="12">
        <v>1200</v>
      </c>
      <c r="AP30" s="12">
        <v>1200</v>
      </c>
      <c r="AQ30" s="16">
        <v>1.0148945288043423</v>
      </c>
      <c r="AR30" s="16">
        <v>-0.5361949938126167</v>
      </c>
      <c r="AS30" s="14">
        <v>20.361948255339573</v>
      </c>
      <c r="AT30" s="14">
        <v>9.6380494390350311</v>
      </c>
      <c r="AU30" s="14">
        <v>9.6380494390350311</v>
      </c>
      <c r="AV30" s="14">
        <v>20.36195037523516</v>
      </c>
      <c r="AW30" s="12">
        <v>0</v>
      </c>
      <c r="AX30" s="12">
        <v>-123539.31436382832</v>
      </c>
      <c r="AY30" s="12">
        <v>0</v>
      </c>
      <c r="AZ30" s="12">
        <v>-123539.31436382832</v>
      </c>
      <c r="BA30" s="12">
        <v>0</v>
      </c>
      <c r="BB30" s="12">
        <v>0</v>
      </c>
      <c r="BC30" s="12">
        <v>-123539.33878502547</v>
      </c>
      <c r="BD30" s="12">
        <v>-123539.33878502547</v>
      </c>
      <c r="BE30" s="56"/>
      <c r="BF30" s="57"/>
      <c r="BG30" s="57"/>
      <c r="BH30" s="57"/>
      <c r="BI30" s="57"/>
    </row>
    <row r="31" spans="1:63" ht="14.45" customHeight="1" x14ac:dyDescent="0.25">
      <c r="A31" s="11">
        <f t="shared" si="0"/>
        <v>27</v>
      </c>
      <c r="B31" s="11" t="s">
        <v>66</v>
      </c>
      <c r="C31" s="15">
        <v>0</v>
      </c>
      <c r="D31" s="15">
        <v>0</v>
      </c>
      <c r="E31" s="15">
        <v>5</v>
      </c>
      <c r="F31" s="15">
        <v>25</v>
      </c>
      <c r="G31" s="15">
        <f t="shared" si="1"/>
        <v>15</v>
      </c>
      <c r="H31" s="15">
        <f t="shared" si="1"/>
        <v>15</v>
      </c>
      <c r="I31" s="15">
        <v>240</v>
      </c>
      <c r="J31" s="15">
        <v>12</v>
      </c>
      <c r="K31" s="15">
        <v>-4</v>
      </c>
      <c r="L31" s="15">
        <f t="shared" si="3"/>
        <v>24</v>
      </c>
      <c r="M31" s="15">
        <v>300</v>
      </c>
      <c r="N31" s="15">
        <v>300</v>
      </c>
      <c r="O31" s="15">
        <v>1</v>
      </c>
      <c r="P31" s="15">
        <v>1</v>
      </c>
      <c r="Q31" s="15">
        <v>0</v>
      </c>
      <c r="R31" s="15">
        <v>0</v>
      </c>
      <c r="S31" s="15"/>
      <c r="T31" s="15"/>
      <c r="U31" s="15"/>
      <c r="V31" s="15"/>
      <c r="W31" s="15">
        <v>1</v>
      </c>
      <c r="X31" s="15">
        <v>1</v>
      </c>
      <c r="Y31" s="15">
        <v>0</v>
      </c>
      <c r="Z31" s="17">
        <v>1</v>
      </c>
      <c r="AB31" s="20">
        <v>27</v>
      </c>
      <c r="AC31" s="12">
        <v>-90118.551865792411</v>
      </c>
      <c r="AD31" s="16">
        <v>-25.032931073831225</v>
      </c>
      <c r="AE31" s="14">
        <v>2.6962823346202969</v>
      </c>
      <c r="AF31" s="14">
        <v>2.0296156679536304</v>
      </c>
      <c r="AG31" s="14">
        <v>18.976175319815589</v>
      </c>
      <c r="AH31" s="12">
        <v>-90118.685799511892</v>
      </c>
      <c r="AI31" s="14">
        <v>-25.03296827764219</v>
      </c>
      <c r="AJ31" s="14">
        <v>2.0951644762927382</v>
      </c>
      <c r="AK31" s="14">
        <v>2.7618311429594047</v>
      </c>
      <c r="AL31" s="14">
        <v>9.9014538594759429</v>
      </c>
      <c r="AM31" s="12">
        <v>3600</v>
      </c>
      <c r="AN31" s="12">
        <v>1200</v>
      </c>
      <c r="AO31" s="12">
        <v>1200</v>
      </c>
      <c r="AP31" s="12">
        <v>1200</v>
      </c>
      <c r="AQ31" s="16">
        <v>1.0148945288043423</v>
      </c>
      <c r="AR31" s="16">
        <v>-0.39113983868338609</v>
      </c>
      <c r="AS31" s="14">
        <v>18.976175319815589</v>
      </c>
      <c r="AT31" s="14">
        <v>8.6558660967625389</v>
      </c>
      <c r="AU31" s="14">
        <v>8.6558660967625389</v>
      </c>
      <c r="AV31" s="14">
        <v>18.976186946006514</v>
      </c>
      <c r="AW31" s="12">
        <v>0</v>
      </c>
      <c r="AX31" s="12">
        <v>-96118.551865792411</v>
      </c>
      <c r="AY31" s="12">
        <v>6000</v>
      </c>
      <c r="AZ31" s="12">
        <v>-90118.551865792411</v>
      </c>
      <c r="BA31" s="12">
        <v>22771.410383778708</v>
      </c>
      <c r="BB31" s="12">
        <v>0</v>
      </c>
      <c r="BC31" s="12">
        <v>-112890.0961832906</v>
      </c>
      <c r="BD31" s="12">
        <v>-90118.685799511892</v>
      </c>
      <c r="BE31" s="56"/>
      <c r="BF31" s="57"/>
      <c r="BG31" s="57"/>
      <c r="BH31" s="57"/>
      <c r="BI31" s="57"/>
    </row>
    <row r="32" spans="1:63" ht="14.45" customHeight="1" x14ac:dyDescent="0.25">
      <c r="A32" s="11">
        <f t="shared" si="0"/>
        <v>28</v>
      </c>
      <c r="B32" s="11" t="s">
        <v>66</v>
      </c>
      <c r="C32" s="15">
        <v>0</v>
      </c>
      <c r="D32" s="15">
        <v>0</v>
      </c>
      <c r="E32" s="15">
        <v>5</v>
      </c>
      <c r="F32" s="15">
        <v>25</v>
      </c>
      <c r="G32" s="15">
        <f t="shared" si="1"/>
        <v>15</v>
      </c>
      <c r="H32" s="15">
        <f t="shared" si="1"/>
        <v>15</v>
      </c>
      <c r="I32" s="15">
        <v>240</v>
      </c>
      <c r="J32" s="15">
        <v>12</v>
      </c>
      <c r="K32" s="15">
        <v>-4</v>
      </c>
      <c r="L32" s="15">
        <f t="shared" si="3"/>
        <v>24</v>
      </c>
      <c r="M32" s="15">
        <v>300</v>
      </c>
      <c r="N32" s="15">
        <v>300</v>
      </c>
      <c r="O32" s="15">
        <v>1</v>
      </c>
      <c r="P32" s="15">
        <v>1</v>
      </c>
      <c r="Q32" s="15">
        <v>0</v>
      </c>
      <c r="R32" s="15">
        <v>0</v>
      </c>
      <c r="S32" s="15"/>
      <c r="T32" s="15"/>
      <c r="U32" s="15"/>
      <c r="V32" s="15"/>
      <c r="W32" s="15">
        <v>1</v>
      </c>
      <c r="X32" s="15">
        <v>1</v>
      </c>
      <c r="Y32" s="15">
        <v>0</v>
      </c>
      <c r="Z32" s="15">
        <v>0</v>
      </c>
      <c r="AB32" s="20">
        <v>28</v>
      </c>
      <c r="AC32" s="12">
        <v>-123539.31436382832</v>
      </c>
      <c r="AD32" s="16">
        <v>-34.316476212174535</v>
      </c>
      <c r="AE32" s="14">
        <v>2.2338622446698233</v>
      </c>
      <c r="AF32" s="14">
        <v>2.2338622446698233</v>
      </c>
      <c r="AG32" s="14">
        <v>20.361948255339573</v>
      </c>
      <c r="AH32" s="12">
        <v>-123539.33878502547</v>
      </c>
      <c r="AI32" s="14">
        <v>-34.31648299584041</v>
      </c>
      <c r="AJ32" s="14">
        <v>2.2338623509855116</v>
      </c>
      <c r="AK32" s="14">
        <v>2.2338623509855116</v>
      </c>
      <c r="AL32" s="14">
        <v>9.6380494390350293</v>
      </c>
      <c r="AM32" s="12">
        <v>3600</v>
      </c>
      <c r="AN32" s="12">
        <v>1200</v>
      </c>
      <c r="AO32" s="12">
        <v>1200</v>
      </c>
      <c r="AP32" s="12">
        <v>1200</v>
      </c>
      <c r="AQ32" s="16">
        <v>1.0148945288043423</v>
      </c>
      <c r="AR32" s="16">
        <v>-0.5361949938126167</v>
      </c>
      <c r="AS32" s="14">
        <v>20.361948255339573</v>
      </c>
      <c r="AT32" s="14">
        <v>9.6380494390350311</v>
      </c>
      <c r="AU32" s="14">
        <v>9.6380494390350311</v>
      </c>
      <c r="AV32" s="14">
        <v>20.36195037523516</v>
      </c>
      <c r="AW32" s="12">
        <v>0</v>
      </c>
      <c r="AX32" s="12">
        <v>-123539.31436382832</v>
      </c>
      <c r="AY32" s="12">
        <v>0</v>
      </c>
      <c r="AZ32" s="12">
        <v>-123539.31436382832</v>
      </c>
      <c r="BA32" s="12">
        <v>0</v>
      </c>
      <c r="BB32" s="12">
        <v>0</v>
      </c>
      <c r="BC32" s="12">
        <v>-123539.33878502547</v>
      </c>
      <c r="BD32" s="12">
        <v>-123539.33878502547</v>
      </c>
      <c r="BE32" s="56"/>
      <c r="BF32" s="57"/>
      <c r="BG32" s="57"/>
      <c r="BH32" s="57"/>
      <c r="BI32" s="57"/>
    </row>
    <row r="33" spans="1:61" ht="14.45" customHeight="1" x14ac:dyDescent="0.25">
      <c r="A33" s="11">
        <f t="shared" si="0"/>
        <v>29</v>
      </c>
      <c r="B33" s="11" t="s">
        <v>66</v>
      </c>
      <c r="C33" s="15">
        <v>0</v>
      </c>
      <c r="D33" s="17">
        <v>-2</v>
      </c>
      <c r="E33" s="15">
        <v>5</v>
      </c>
      <c r="F33" s="15">
        <v>25</v>
      </c>
      <c r="G33" s="15">
        <f t="shared" si="1"/>
        <v>15</v>
      </c>
      <c r="H33" s="15">
        <f t="shared" si="1"/>
        <v>15</v>
      </c>
      <c r="I33" s="15">
        <v>240</v>
      </c>
      <c r="J33" s="15">
        <v>12</v>
      </c>
      <c r="K33" s="15">
        <v>-4</v>
      </c>
      <c r="L33" s="15">
        <f t="shared" si="3"/>
        <v>24</v>
      </c>
      <c r="M33" s="15">
        <v>300</v>
      </c>
      <c r="N33" s="15">
        <v>300</v>
      </c>
      <c r="O33" s="15">
        <v>1</v>
      </c>
      <c r="P33" s="15">
        <v>1</v>
      </c>
      <c r="Q33" s="15">
        <v>0</v>
      </c>
      <c r="R33" s="15">
        <v>0</v>
      </c>
      <c r="S33" s="15"/>
      <c r="T33" s="15"/>
      <c r="U33" s="15"/>
      <c r="V33" s="15"/>
      <c r="W33" s="15">
        <v>1</v>
      </c>
      <c r="X33" s="15">
        <v>1</v>
      </c>
      <c r="Y33" s="15">
        <v>0</v>
      </c>
      <c r="Z33" s="15">
        <v>0</v>
      </c>
      <c r="AB33" s="20">
        <v>29</v>
      </c>
      <c r="AC33" s="12">
        <v>-7938.7860111501286</v>
      </c>
      <c r="AD33" s="16">
        <v>-2.2052183364305913</v>
      </c>
      <c r="AE33" s="14">
        <v>3.2120716925268575</v>
      </c>
      <c r="AF33" s="14">
        <v>1.6120716925268574</v>
      </c>
      <c r="AG33" s="14">
        <v>11.33049906138748</v>
      </c>
      <c r="AH33" s="12">
        <v>-7939.2883486901264</v>
      </c>
      <c r="AI33" s="14">
        <v>-2.2053578746361464</v>
      </c>
      <c r="AJ33" s="14">
        <v>0.90348656426709872</v>
      </c>
      <c r="AK33" s="14">
        <v>2.5034865642670989</v>
      </c>
      <c r="AL33" s="14">
        <v>8.1413683312529148</v>
      </c>
      <c r="AM33" s="12">
        <v>3600</v>
      </c>
      <c r="AN33" s="12">
        <v>1200</v>
      </c>
      <c r="AO33" s="12">
        <v>1200</v>
      </c>
      <c r="AP33" s="12">
        <v>1200</v>
      </c>
      <c r="AQ33" s="16">
        <v>1.1718992588085309</v>
      </c>
      <c r="AR33" s="16">
        <v>-4.5943502198611846E-2</v>
      </c>
      <c r="AS33" s="14">
        <v>11.330499061387476</v>
      </c>
      <c r="AT33" s="14">
        <v>8.1413683312529148</v>
      </c>
      <c r="AU33" s="14">
        <v>8.1413683312529148</v>
      </c>
      <c r="AV33" s="14">
        <v>17.661085334153423</v>
      </c>
      <c r="AW33" s="12">
        <v>28800</v>
      </c>
      <c r="AX33" s="12">
        <v>-36738.786011150129</v>
      </c>
      <c r="AY33" s="12">
        <v>0</v>
      </c>
      <c r="AZ33" s="12">
        <v>-7938.7860111501286</v>
      </c>
      <c r="BA33" s="12">
        <v>0</v>
      </c>
      <c r="BB33" s="12">
        <v>46894.281588016791</v>
      </c>
      <c r="BC33" s="12">
        <v>-54833.569936706917</v>
      </c>
      <c r="BD33" s="12">
        <v>-7939.2883486901264</v>
      </c>
      <c r="BE33" s="56"/>
      <c r="BF33" s="57"/>
      <c r="BG33" s="57"/>
      <c r="BH33" s="57"/>
      <c r="BI33" s="57"/>
    </row>
    <row r="34" spans="1:61" ht="14.45" customHeight="1" x14ac:dyDescent="0.25">
      <c r="A34" s="11">
        <f t="shared" si="0"/>
        <v>30</v>
      </c>
      <c r="B34" s="11" t="s">
        <v>66</v>
      </c>
      <c r="C34" s="15">
        <v>0</v>
      </c>
      <c r="D34" s="17">
        <v>2</v>
      </c>
      <c r="E34" s="15">
        <v>5</v>
      </c>
      <c r="F34" s="15">
        <v>25</v>
      </c>
      <c r="G34" s="15">
        <f t="shared" si="1"/>
        <v>15</v>
      </c>
      <c r="H34" s="15">
        <f t="shared" si="1"/>
        <v>15</v>
      </c>
      <c r="I34" s="15">
        <v>240</v>
      </c>
      <c r="J34" s="15">
        <v>12</v>
      </c>
      <c r="K34" s="15">
        <v>-4</v>
      </c>
      <c r="L34" s="15">
        <f t="shared" si="3"/>
        <v>24</v>
      </c>
      <c r="M34" s="15">
        <v>300</v>
      </c>
      <c r="N34" s="15">
        <v>300</v>
      </c>
      <c r="O34" s="15">
        <v>1</v>
      </c>
      <c r="P34" s="15">
        <v>1</v>
      </c>
      <c r="Q34" s="15">
        <v>0</v>
      </c>
      <c r="R34" s="15">
        <v>0</v>
      </c>
      <c r="S34" s="15"/>
      <c r="T34" s="15"/>
      <c r="U34" s="15"/>
      <c r="V34" s="15"/>
      <c r="W34" s="15">
        <v>1</v>
      </c>
      <c r="X34" s="15">
        <v>1</v>
      </c>
      <c r="Y34" s="15">
        <v>0</v>
      </c>
      <c r="Z34" s="15">
        <v>0</v>
      </c>
      <c r="AB34" s="20">
        <v>30</v>
      </c>
      <c r="AC34" s="12">
        <v>-266369.96346990333</v>
      </c>
      <c r="AD34" s="16">
        <v>-73.991656519417589</v>
      </c>
      <c r="AE34" s="14">
        <v>2.3016442015697116</v>
      </c>
      <c r="AF34" s="14">
        <v>3.9016442015697117</v>
      </c>
      <c r="AG34" s="14">
        <v>21.913806874770334</v>
      </c>
      <c r="AH34" s="12">
        <v>-266372.28628314356</v>
      </c>
      <c r="AI34" s="14">
        <v>-73.992301745317661</v>
      </c>
      <c r="AJ34" s="14">
        <v>4.9431362814498447</v>
      </c>
      <c r="AK34" s="14">
        <v>3.3431362814498442</v>
      </c>
      <c r="AL34" s="14">
        <v>14.832211766558336</v>
      </c>
      <c r="AM34" s="12">
        <v>3600</v>
      </c>
      <c r="AN34" s="12">
        <v>1200</v>
      </c>
      <c r="AO34" s="12">
        <v>1200</v>
      </c>
      <c r="AP34" s="12">
        <v>1200</v>
      </c>
      <c r="AQ34" s="16">
        <v>0.90774926255965094</v>
      </c>
      <c r="AR34" s="16">
        <v>-0.92489973915459534</v>
      </c>
      <c r="AS34" s="14">
        <v>21.913806874770334</v>
      </c>
      <c r="AT34" s="14">
        <v>9.7483176498374995</v>
      </c>
      <c r="AU34" s="14">
        <v>14.832211766558332</v>
      </c>
      <c r="AV34" s="14">
        <v>21.913941296832846</v>
      </c>
      <c r="AW34" s="12">
        <v>-126223.5275986771</v>
      </c>
      <c r="AX34" s="12">
        <v>-140146.43587122625</v>
      </c>
      <c r="AY34" s="12">
        <v>0</v>
      </c>
      <c r="AZ34" s="12">
        <v>-266369.96346990333</v>
      </c>
      <c r="BA34" s="12">
        <v>0</v>
      </c>
      <c r="BB34" s="12">
        <v>-144000</v>
      </c>
      <c r="BC34" s="12">
        <v>-122372.28628314356</v>
      </c>
      <c r="BD34" s="12">
        <v>-266372.28628314356</v>
      </c>
      <c r="BE34" s="56"/>
      <c r="BF34" s="57"/>
      <c r="BG34" s="57"/>
      <c r="BH34" s="57"/>
      <c r="BI34" s="57"/>
    </row>
    <row r="35" spans="1:61" ht="14.45" customHeight="1" x14ac:dyDescent="0.25">
      <c r="A35" s="11">
        <f t="shared" si="0"/>
        <v>31</v>
      </c>
      <c r="B35" s="11" t="s">
        <v>66</v>
      </c>
      <c r="C35" s="15">
        <v>0</v>
      </c>
      <c r="D35" s="17">
        <v>-2</v>
      </c>
      <c r="E35" s="15">
        <v>5</v>
      </c>
      <c r="F35" s="15">
        <v>25</v>
      </c>
      <c r="G35" s="15">
        <f t="shared" si="1"/>
        <v>15</v>
      </c>
      <c r="H35" s="15">
        <f t="shared" si="1"/>
        <v>15</v>
      </c>
      <c r="I35" s="15">
        <v>240</v>
      </c>
      <c r="J35" s="15">
        <v>12</v>
      </c>
      <c r="K35" s="15">
        <v>-4</v>
      </c>
      <c r="L35" s="15">
        <f t="shared" si="3"/>
        <v>24</v>
      </c>
      <c r="M35" s="15">
        <v>300</v>
      </c>
      <c r="N35" s="15">
        <v>300</v>
      </c>
      <c r="O35" s="15">
        <v>1</v>
      </c>
      <c r="P35" s="15">
        <v>1</v>
      </c>
      <c r="Q35" s="15">
        <v>0</v>
      </c>
      <c r="R35" s="15">
        <v>0</v>
      </c>
      <c r="S35" s="15"/>
      <c r="T35" s="15"/>
      <c r="U35" s="15"/>
      <c r="V35" s="15"/>
      <c r="W35" s="15">
        <v>1</v>
      </c>
      <c r="X35" s="15">
        <v>1</v>
      </c>
      <c r="Y35" s="17">
        <v>1</v>
      </c>
      <c r="Z35" s="15">
        <v>0</v>
      </c>
      <c r="AB35" s="20">
        <v>31</v>
      </c>
      <c r="AC35" s="12">
        <v>16477.148417261986</v>
      </c>
      <c r="AD35" s="16">
        <v>4.5769856714616628</v>
      </c>
      <c r="AE35" s="14">
        <v>3.5872023030716638</v>
      </c>
      <c r="AF35" s="14">
        <v>1.3205356364049972</v>
      </c>
      <c r="AG35" s="14">
        <v>10.116369051777379</v>
      </c>
      <c r="AH35" s="12">
        <v>16476.801344614811</v>
      </c>
      <c r="AI35" s="14">
        <v>4.5768892623930029</v>
      </c>
      <c r="AJ35" s="14">
        <v>0.75543411140338768</v>
      </c>
      <c r="AK35" s="14">
        <v>3.0221007780700546</v>
      </c>
      <c r="AL35" s="14">
        <v>7.7637192702955629</v>
      </c>
      <c r="AM35" s="12">
        <v>3600</v>
      </c>
      <c r="AN35" s="12">
        <v>1200</v>
      </c>
      <c r="AO35" s="12">
        <v>1200</v>
      </c>
      <c r="AP35" s="12">
        <v>1200</v>
      </c>
      <c r="AQ35" s="16">
        <v>1.1718992588085309</v>
      </c>
      <c r="AR35" s="16">
        <v>9.535286389431942E-2</v>
      </c>
      <c r="AS35" s="14">
        <v>10.116369051777378</v>
      </c>
      <c r="AT35" s="14">
        <v>7.4720552978823367</v>
      </c>
      <c r="AU35" s="14">
        <v>7.4720552978823367</v>
      </c>
      <c r="AV35" s="14">
        <v>15.232798359222668</v>
      </c>
      <c r="AW35" s="12">
        <v>28800</v>
      </c>
      <c r="AX35" s="12">
        <v>-18322.851582738014</v>
      </c>
      <c r="AY35" s="12">
        <v>6000</v>
      </c>
      <c r="AZ35" s="12">
        <v>16477.148417261986</v>
      </c>
      <c r="BA35" s="12">
        <v>12139.642862132852</v>
      </c>
      <c r="BB35" s="12">
        <v>43039.038515802262</v>
      </c>
      <c r="BC35" s="12">
        <v>-38701.880033320303</v>
      </c>
      <c r="BD35" s="12">
        <v>16476.801344614811</v>
      </c>
      <c r="BE35" s="56"/>
      <c r="BF35" s="57"/>
      <c r="BG35" s="57"/>
      <c r="BH35" s="57"/>
      <c r="BI35" s="57"/>
    </row>
    <row r="36" spans="1:61" ht="14.45" customHeight="1" x14ac:dyDescent="0.25">
      <c r="A36" s="11">
        <f t="shared" si="0"/>
        <v>32</v>
      </c>
      <c r="B36" s="11" t="s">
        <v>66</v>
      </c>
      <c r="C36" s="15">
        <v>0</v>
      </c>
      <c r="D36" s="17">
        <v>2</v>
      </c>
      <c r="E36" s="15">
        <v>5</v>
      </c>
      <c r="F36" s="15">
        <v>25</v>
      </c>
      <c r="G36" s="15">
        <f t="shared" si="1"/>
        <v>15</v>
      </c>
      <c r="H36" s="15">
        <f t="shared" si="1"/>
        <v>15</v>
      </c>
      <c r="I36" s="15">
        <v>240</v>
      </c>
      <c r="J36" s="15">
        <v>12</v>
      </c>
      <c r="K36" s="15">
        <v>-4</v>
      </c>
      <c r="L36" s="15">
        <f t="shared" si="3"/>
        <v>24</v>
      </c>
      <c r="M36" s="15">
        <v>300</v>
      </c>
      <c r="N36" s="15">
        <v>300</v>
      </c>
      <c r="O36" s="15">
        <v>1</v>
      </c>
      <c r="P36" s="15">
        <v>1</v>
      </c>
      <c r="Q36" s="15">
        <v>0</v>
      </c>
      <c r="R36" s="15">
        <v>0</v>
      </c>
      <c r="S36" s="15"/>
      <c r="T36" s="15"/>
      <c r="U36" s="15"/>
      <c r="V36" s="15"/>
      <c r="W36" s="15">
        <v>1</v>
      </c>
      <c r="X36" s="15">
        <v>1</v>
      </c>
      <c r="Y36" s="15">
        <v>0</v>
      </c>
      <c r="Z36" s="17">
        <v>1</v>
      </c>
      <c r="AB36" s="20">
        <v>32</v>
      </c>
      <c r="AC36" s="12">
        <v>-228636.53850916892</v>
      </c>
      <c r="AD36" s="16">
        <v>-63.510149585880256</v>
      </c>
      <c r="AE36" s="14">
        <v>2.7871303147161943</v>
      </c>
      <c r="AF36" s="14">
        <v>3.7204636480495274</v>
      </c>
      <c r="AG36" s="14">
        <v>20.816169296550605</v>
      </c>
      <c r="AH36" s="12">
        <v>-228636.56296999761</v>
      </c>
      <c r="AI36" s="14">
        <v>-63.510156380554889</v>
      </c>
      <c r="AJ36" s="14">
        <v>4.8329888018607967</v>
      </c>
      <c r="AK36" s="14">
        <v>3.8996554685274627</v>
      </c>
      <c r="AL36" s="14">
        <v>14.697340349302037</v>
      </c>
      <c r="AM36" s="12">
        <v>3600</v>
      </c>
      <c r="AN36" s="12">
        <v>1200</v>
      </c>
      <c r="AO36" s="12">
        <v>1200</v>
      </c>
      <c r="AP36" s="12">
        <v>1200</v>
      </c>
      <c r="AQ36" s="16">
        <v>0.90774926255965094</v>
      </c>
      <c r="AR36" s="16">
        <v>-0.79387691229021973</v>
      </c>
      <c r="AS36" s="14">
        <v>20.816169296550605</v>
      </c>
      <c r="AT36" s="14">
        <v>8.6881478975143036</v>
      </c>
      <c r="AU36" s="14">
        <v>14.125431931676202</v>
      </c>
      <c r="AV36" s="14">
        <v>20.816170712107816</v>
      </c>
      <c r="AW36" s="12">
        <v>-119901.13514813148</v>
      </c>
      <c r="AX36" s="12">
        <v>-114735.40336103745</v>
      </c>
      <c r="AY36" s="12">
        <v>6000</v>
      </c>
      <c r="AZ36" s="12">
        <v>-228636.53850916892</v>
      </c>
      <c r="BA36" s="12">
        <v>24979.403155860728</v>
      </c>
      <c r="BB36" s="12">
        <v>-144000</v>
      </c>
      <c r="BC36" s="12">
        <v>-109615.96612585834</v>
      </c>
      <c r="BD36" s="12">
        <v>-228636.56296999761</v>
      </c>
      <c r="BE36" s="56"/>
      <c r="BF36" s="57"/>
      <c r="BG36" s="57"/>
      <c r="BH36" s="57"/>
      <c r="BI36" s="57"/>
    </row>
  </sheetData>
  <dataConsolidate/>
  <mergeCells count="13">
    <mergeCell ref="BQ1:BT1"/>
    <mergeCell ref="U1:V1"/>
    <mergeCell ref="C1:H1"/>
    <mergeCell ref="AS1:AV1"/>
    <mergeCell ref="AW1:BD1"/>
    <mergeCell ref="AC1:AL1"/>
    <mergeCell ref="AM1:AP1"/>
    <mergeCell ref="AQ1:AR1"/>
    <mergeCell ref="I1:K1"/>
    <mergeCell ref="L1:R1"/>
    <mergeCell ref="W1:Z1"/>
    <mergeCell ref="S1:T1"/>
    <mergeCell ref="BE1:BP1"/>
  </mergeCells>
  <dataValidations count="1">
    <dataValidation type="list" allowBlank="1" showInputMessage="1" showErrorMessage="1" sqref="B4:B1048576" xr:uid="{2F61A02E-62FE-4D74-A71C-9ED926FBDF65}">
      <formula1>"Steady,0,1,2,3,4"</formula1>
    </dataValidation>
  </dataValidations>
  <pageMargins left="0.70866141732283461" right="0.70866141732283461" top="0.74803149606299213" bottom="0.74803149606299213" header="0.31496062992125978" footer="0.31496062992125978"/>
  <pageSetup paperSize="9" scale="77" fitToWidth="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029F2-FBD5-480D-8AC7-8F6817AE38A8}">
  <sheetPr codeName="Sheet2">
    <pageSetUpPr fitToPage="1"/>
  </sheetPr>
  <dimension ref="A1:BT36"/>
  <sheetViews>
    <sheetView zoomScale="70" zoomScaleNormal="70" workbookViewId="0">
      <pane xSplit="1" ySplit="3" topLeftCell="I4" activePane="bottomRight" state="frozen"/>
      <selection activeCell="AV25" sqref="AV25"/>
      <selection pane="topRight" activeCell="AV25" sqref="AV25"/>
      <selection pane="bottomLeft" activeCell="AV25" sqref="AV25"/>
      <selection pane="bottomRight" activeCell="BM38" sqref="BM38"/>
    </sheetView>
  </sheetViews>
  <sheetFormatPr defaultColWidth="8.7109375" defaultRowHeight="15" x14ac:dyDescent="0.25"/>
  <cols>
    <col min="1" max="1" width="18.7109375" style="21" customWidth="1"/>
    <col min="2" max="2" width="10.140625" style="21" customWidth="1"/>
    <col min="3" max="6" width="8.7109375" style="21"/>
    <col min="7" max="7" width="8.7109375" style="23"/>
    <col min="8" max="23" width="8.7109375" style="21"/>
    <col min="24" max="24" width="8.7109375" style="21" customWidth="1"/>
    <col min="25" max="26" width="8.7109375" style="21"/>
    <col min="27" max="27" width="6" style="21" customWidth="1"/>
    <col min="28" max="28" width="8.7109375" style="22" customWidth="1"/>
    <col min="29" max="29" width="10.7109375" style="22" hidden="1" customWidth="1"/>
    <col min="30" max="33" width="8.7109375" style="22" hidden="1" customWidth="1"/>
    <col min="34" max="34" width="10.7109375" style="22" hidden="1" customWidth="1"/>
    <col min="35" max="42" width="8.7109375" style="22" hidden="1" customWidth="1"/>
    <col min="43" max="43" width="9.28515625" style="22" hidden="1" customWidth="1"/>
    <col min="44" max="44" width="11.5703125" style="22" hidden="1" customWidth="1"/>
    <col min="45" max="45" width="8.7109375" style="21" hidden="1" customWidth="1"/>
    <col min="46" max="48" width="8.7109375" style="22" hidden="1" customWidth="1"/>
    <col min="49" max="49" width="9.5703125" style="22" hidden="1" customWidth="1"/>
    <col min="50" max="50" width="10.28515625" style="22" hidden="1" customWidth="1"/>
    <col min="51" max="51" width="8.7109375" style="22" hidden="1" customWidth="1"/>
    <col min="52" max="52" width="12.7109375" style="22" hidden="1" customWidth="1"/>
    <col min="53" max="53" width="8.7109375" style="22" hidden="1" customWidth="1"/>
    <col min="54" max="54" width="12.28515625" style="22" hidden="1" customWidth="1"/>
    <col min="55" max="56" width="12.7109375" style="22" hidden="1" customWidth="1"/>
    <col min="57" max="57" width="12.7109375" style="59" customWidth="1"/>
    <col min="58" max="67" width="12.7109375" style="60" customWidth="1"/>
    <col min="68" max="68" width="12.7109375" style="58" customWidth="1"/>
    <col min="69" max="69" width="8.85546875" style="61" bestFit="1" customWidth="1"/>
    <col min="70" max="70" width="11.42578125" style="58" bestFit="1" customWidth="1"/>
    <col min="71" max="71" width="8.7109375" style="61"/>
    <col min="72" max="72" width="8.7109375" style="58"/>
    <col min="73" max="16384" width="8.7109375" style="21"/>
  </cols>
  <sheetData>
    <row r="1" spans="1:72" ht="14.45" customHeight="1" x14ac:dyDescent="0.25">
      <c r="A1" s="1"/>
      <c r="B1" s="1"/>
      <c r="C1" s="73" t="s">
        <v>0</v>
      </c>
      <c r="D1" s="74"/>
      <c r="E1" s="74"/>
      <c r="F1" s="74"/>
      <c r="G1" s="74"/>
      <c r="H1" s="74"/>
      <c r="I1" s="73" t="s">
        <v>1</v>
      </c>
      <c r="J1" s="74"/>
      <c r="K1" s="74"/>
      <c r="L1" s="77" t="s">
        <v>2</v>
      </c>
      <c r="M1" s="74"/>
      <c r="N1" s="74"/>
      <c r="O1" s="74"/>
      <c r="P1" s="74"/>
      <c r="Q1" s="74"/>
      <c r="R1" s="74"/>
      <c r="S1" s="79" t="s">
        <v>67</v>
      </c>
      <c r="T1" s="72"/>
      <c r="U1" s="71" t="s">
        <v>75</v>
      </c>
      <c r="V1" s="72"/>
      <c r="W1" s="78" t="s">
        <v>3</v>
      </c>
      <c r="X1" s="74"/>
      <c r="Y1" s="74"/>
      <c r="Z1" s="74"/>
      <c r="AA1" s="23"/>
      <c r="AB1" s="2"/>
      <c r="AC1" s="73" t="s">
        <v>4</v>
      </c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3" t="s">
        <v>5</v>
      </c>
      <c r="AR1" s="76"/>
      <c r="AS1" s="75" t="s">
        <v>6</v>
      </c>
      <c r="AT1" s="76"/>
      <c r="AU1" s="76"/>
      <c r="AV1" s="76"/>
      <c r="AW1" s="75" t="s">
        <v>7</v>
      </c>
      <c r="AX1" s="76"/>
      <c r="AY1" s="76"/>
      <c r="AZ1" s="76"/>
      <c r="BA1" s="76"/>
      <c r="BB1" s="76"/>
      <c r="BC1" s="76"/>
      <c r="BD1" s="76"/>
      <c r="BE1" s="71" t="s">
        <v>78</v>
      </c>
      <c r="BF1" s="79"/>
      <c r="BG1" s="79"/>
      <c r="BH1" s="79"/>
      <c r="BI1" s="79"/>
      <c r="BJ1" s="79"/>
      <c r="BK1" s="79"/>
      <c r="BL1" s="79"/>
      <c r="BM1" s="79"/>
      <c r="BN1" s="79"/>
      <c r="BO1" s="79"/>
      <c r="BP1" s="72"/>
      <c r="BQ1" s="69" t="s">
        <v>70</v>
      </c>
      <c r="BR1" s="70"/>
      <c r="BS1" s="70"/>
      <c r="BT1" s="70"/>
    </row>
    <row r="2" spans="1:72" ht="49.9" customHeight="1" x14ac:dyDescent="0.25">
      <c r="A2" s="1"/>
      <c r="B2" s="38"/>
      <c r="C2" s="43" t="s">
        <v>8</v>
      </c>
      <c r="D2" s="44" t="s">
        <v>8</v>
      </c>
      <c r="E2" s="44" t="s">
        <v>9</v>
      </c>
      <c r="F2" s="44" t="s">
        <v>9</v>
      </c>
      <c r="G2" s="44" t="s">
        <v>10</v>
      </c>
      <c r="H2" s="44" t="s">
        <v>10</v>
      </c>
      <c r="I2" s="45" t="s">
        <v>11</v>
      </c>
      <c r="J2" s="44" t="s">
        <v>11</v>
      </c>
      <c r="K2" s="46" t="s">
        <v>8</v>
      </c>
      <c r="L2" s="52" t="s">
        <v>12</v>
      </c>
      <c r="M2" s="51" t="s">
        <v>68</v>
      </c>
      <c r="N2" s="44" t="s">
        <v>68</v>
      </c>
      <c r="O2" s="52" t="s">
        <v>12</v>
      </c>
      <c r="P2" s="52" t="s">
        <v>12</v>
      </c>
      <c r="Q2" s="47" t="s">
        <v>14</v>
      </c>
      <c r="R2" s="48" t="s">
        <v>14</v>
      </c>
      <c r="S2" s="39" t="s">
        <v>69</v>
      </c>
      <c r="T2" s="40" t="s">
        <v>68</v>
      </c>
      <c r="U2" s="40" t="s">
        <v>9</v>
      </c>
      <c r="V2" s="40" t="s">
        <v>8</v>
      </c>
      <c r="W2" s="49" t="s">
        <v>12</v>
      </c>
      <c r="X2" s="50" t="s">
        <v>12</v>
      </c>
      <c r="Y2" s="44" t="s">
        <v>15</v>
      </c>
      <c r="Z2" s="46" t="s">
        <v>15</v>
      </c>
      <c r="AA2" s="23"/>
      <c r="AB2" s="3"/>
      <c r="AC2" s="53" t="s">
        <v>16</v>
      </c>
      <c r="AD2" s="53" t="s">
        <v>17</v>
      </c>
      <c r="AE2" s="53" t="s">
        <v>15</v>
      </c>
      <c r="AF2" s="53" t="s">
        <v>15</v>
      </c>
      <c r="AG2" s="53" t="s">
        <v>9</v>
      </c>
      <c r="AH2" s="53" t="s">
        <v>16</v>
      </c>
      <c r="AI2" s="53" t="s">
        <v>17</v>
      </c>
      <c r="AJ2" s="53" t="s">
        <v>15</v>
      </c>
      <c r="AK2" s="53" t="s">
        <v>15</v>
      </c>
      <c r="AL2" s="53" t="s">
        <v>9</v>
      </c>
      <c r="AM2" s="53" t="s">
        <v>13</v>
      </c>
      <c r="AN2" s="53" t="s">
        <v>13</v>
      </c>
      <c r="AO2" s="53" t="s">
        <v>13</v>
      </c>
      <c r="AP2" s="53" t="s">
        <v>13</v>
      </c>
      <c r="AQ2" s="53" t="s">
        <v>13</v>
      </c>
      <c r="AR2" s="53" t="s">
        <v>12</v>
      </c>
      <c r="AS2" s="54" t="s">
        <v>9</v>
      </c>
      <c r="AT2" s="53" t="s">
        <v>9</v>
      </c>
      <c r="AU2" s="53" t="s">
        <v>9</v>
      </c>
      <c r="AV2" s="53" t="s">
        <v>9</v>
      </c>
      <c r="AW2" s="53" t="s">
        <v>16</v>
      </c>
      <c r="AX2" s="53" t="s">
        <v>16</v>
      </c>
      <c r="AY2" s="53" t="s">
        <v>16</v>
      </c>
      <c r="AZ2" s="53" t="s">
        <v>16</v>
      </c>
      <c r="BA2" s="53" t="s">
        <v>16</v>
      </c>
      <c r="BB2" s="53" t="s">
        <v>16</v>
      </c>
      <c r="BC2" s="53" t="s">
        <v>16</v>
      </c>
      <c r="BD2" s="55" t="s">
        <v>16</v>
      </c>
      <c r="BE2" s="41" t="s">
        <v>16</v>
      </c>
      <c r="BF2" s="42" t="s">
        <v>14</v>
      </c>
      <c r="BG2" s="42" t="s">
        <v>14</v>
      </c>
      <c r="BH2" s="67" t="s">
        <v>15</v>
      </c>
      <c r="BI2" s="67" t="s">
        <v>15</v>
      </c>
      <c r="BJ2" s="67" t="s">
        <v>9</v>
      </c>
      <c r="BK2" s="42" t="s">
        <v>16</v>
      </c>
      <c r="BL2" s="42" t="s">
        <v>14</v>
      </c>
      <c r="BM2" s="67" t="s">
        <v>14</v>
      </c>
      <c r="BN2" s="67" t="s">
        <v>15</v>
      </c>
      <c r="BO2" s="67" t="s">
        <v>15</v>
      </c>
      <c r="BP2" s="42" t="s">
        <v>9</v>
      </c>
      <c r="BQ2" s="42"/>
      <c r="BR2" s="42"/>
      <c r="BS2" s="42"/>
      <c r="BT2" s="42"/>
    </row>
    <row r="3" spans="1:72" ht="112.15" customHeight="1" x14ac:dyDescent="0.25">
      <c r="A3" s="5" t="s">
        <v>18</v>
      </c>
      <c r="B3" s="6" t="s">
        <v>65</v>
      </c>
      <c r="C3" s="32" t="s">
        <v>19</v>
      </c>
      <c r="D3" s="33" t="s">
        <v>20</v>
      </c>
      <c r="E3" s="33" t="s">
        <v>21</v>
      </c>
      <c r="F3" s="33" t="s">
        <v>22</v>
      </c>
      <c r="G3" s="33" t="s">
        <v>83</v>
      </c>
      <c r="H3" s="33" t="s">
        <v>84</v>
      </c>
      <c r="I3" s="34" t="s">
        <v>23</v>
      </c>
      <c r="J3" s="33" t="s">
        <v>24</v>
      </c>
      <c r="K3" s="35" t="s">
        <v>25</v>
      </c>
      <c r="L3" s="33" t="s">
        <v>26</v>
      </c>
      <c r="M3" s="7" t="s">
        <v>27</v>
      </c>
      <c r="N3" s="7" t="s">
        <v>28</v>
      </c>
      <c r="O3" s="7" t="s">
        <v>29</v>
      </c>
      <c r="P3" s="7" t="s">
        <v>30</v>
      </c>
      <c r="Q3" s="9" t="s">
        <v>31</v>
      </c>
      <c r="R3" s="9" t="s">
        <v>32</v>
      </c>
      <c r="S3" s="25" t="s">
        <v>49</v>
      </c>
      <c r="T3" s="24" t="s">
        <v>50</v>
      </c>
      <c r="U3" s="26" t="s">
        <v>77</v>
      </c>
      <c r="V3" s="27" t="s">
        <v>76</v>
      </c>
      <c r="W3" s="10" t="s">
        <v>33</v>
      </c>
      <c r="X3" s="10" t="s">
        <v>34</v>
      </c>
      <c r="Y3" s="7" t="s">
        <v>35</v>
      </c>
      <c r="Z3" s="8" t="s">
        <v>36</v>
      </c>
      <c r="AA3" s="8"/>
      <c r="AB3" s="4" t="s">
        <v>18</v>
      </c>
      <c r="AC3" s="4" t="s">
        <v>37</v>
      </c>
      <c r="AD3" s="4" t="s">
        <v>38</v>
      </c>
      <c r="AE3" s="4" t="s">
        <v>39</v>
      </c>
      <c r="AF3" s="4" t="s">
        <v>40</v>
      </c>
      <c r="AG3" s="4" t="s">
        <v>41</v>
      </c>
      <c r="AH3" s="4" t="s">
        <v>42</v>
      </c>
      <c r="AI3" s="4" t="s">
        <v>43</v>
      </c>
      <c r="AJ3" s="4" t="s">
        <v>44</v>
      </c>
      <c r="AK3" s="4" t="s">
        <v>45</v>
      </c>
      <c r="AL3" s="4" t="s">
        <v>46</v>
      </c>
      <c r="AM3" s="4" t="s">
        <v>47</v>
      </c>
      <c r="AN3" s="4" t="s">
        <v>48</v>
      </c>
      <c r="AO3" s="4" t="s">
        <v>49</v>
      </c>
      <c r="AP3" s="4" t="s">
        <v>50</v>
      </c>
      <c r="AQ3" s="4" t="s">
        <v>51</v>
      </c>
      <c r="AR3" s="4" t="s">
        <v>52</v>
      </c>
      <c r="AS3" s="5" t="s">
        <v>53</v>
      </c>
      <c r="AT3" s="5" t="s">
        <v>54</v>
      </c>
      <c r="AU3" s="5" t="s">
        <v>55</v>
      </c>
      <c r="AV3" s="5" t="s">
        <v>56</v>
      </c>
      <c r="AW3" s="4" t="s">
        <v>57</v>
      </c>
      <c r="AX3" s="4" t="s">
        <v>58</v>
      </c>
      <c r="AY3" s="4" t="s">
        <v>59</v>
      </c>
      <c r="AZ3" s="4" t="s">
        <v>60</v>
      </c>
      <c r="BA3" s="4" t="s">
        <v>61</v>
      </c>
      <c r="BB3" s="4" t="s">
        <v>62</v>
      </c>
      <c r="BC3" s="4" t="s">
        <v>63</v>
      </c>
      <c r="BD3" s="28" t="s">
        <v>64</v>
      </c>
      <c r="BE3" s="29" t="s">
        <v>37</v>
      </c>
      <c r="BF3" s="4" t="s">
        <v>80</v>
      </c>
      <c r="BG3" s="4" t="s">
        <v>79</v>
      </c>
      <c r="BH3" s="68" t="s">
        <v>39</v>
      </c>
      <c r="BI3" s="68" t="s">
        <v>85</v>
      </c>
      <c r="BJ3" s="68" t="s">
        <v>41</v>
      </c>
      <c r="BK3" s="4" t="s">
        <v>42</v>
      </c>
      <c r="BL3" s="4" t="s">
        <v>81</v>
      </c>
      <c r="BM3" s="68" t="s">
        <v>82</v>
      </c>
      <c r="BN3" s="68" t="s">
        <v>44</v>
      </c>
      <c r="BO3" s="68" t="s">
        <v>45</v>
      </c>
      <c r="BP3" s="4" t="s">
        <v>46</v>
      </c>
      <c r="BQ3" s="4" t="s">
        <v>71</v>
      </c>
      <c r="BR3" s="62" t="s">
        <v>72</v>
      </c>
      <c r="BS3" s="63" t="s">
        <v>73</v>
      </c>
      <c r="BT3" s="62" t="s">
        <v>74</v>
      </c>
    </row>
    <row r="4" spans="1:72" ht="14.45" customHeight="1" x14ac:dyDescent="0.25">
      <c r="A4" s="11">
        <v>0</v>
      </c>
      <c r="B4" s="11">
        <v>0</v>
      </c>
      <c r="C4" s="36">
        <v>0</v>
      </c>
      <c r="D4" s="37">
        <v>4</v>
      </c>
      <c r="E4" s="36">
        <v>5</v>
      </c>
      <c r="F4" s="36">
        <v>25</v>
      </c>
      <c r="G4" s="36">
        <v>15</v>
      </c>
      <c r="H4" s="36">
        <v>15</v>
      </c>
      <c r="I4" s="36">
        <v>240</v>
      </c>
      <c r="J4" s="36">
        <v>12</v>
      </c>
      <c r="K4" s="36">
        <v>-4</v>
      </c>
      <c r="L4" s="15"/>
      <c r="M4" s="15"/>
      <c r="N4" s="15"/>
      <c r="O4" s="15"/>
      <c r="P4" s="15"/>
      <c r="Q4" s="31">
        <v>0</v>
      </c>
      <c r="R4" s="31">
        <v>0</v>
      </c>
      <c r="S4" s="15"/>
      <c r="T4" s="15"/>
      <c r="U4" s="15">
        <v>15</v>
      </c>
      <c r="V4" s="15">
        <v>2</v>
      </c>
      <c r="W4" s="15">
        <v>1</v>
      </c>
      <c r="X4" s="15">
        <v>1</v>
      </c>
      <c r="Y4" s="15">
        <v>0</v>
      </c>
      <c r="Z4" s="15">
        <v>0</v>
      </c>
      <c r="AB4" s="20">
        <v>0</v>
      </c>
      <c r="AC4" s="12"/>
      <c r="AD4" s="13"/>
      <c r="AE4" s="14"/>
      <c r="AF4" s="14"/>
      <c r="AG4" s="14"/>
      <c r="AH4" s="12"/>
      <c r="AI4" s="14"/>
      <c r="AJ4" s="14"/>
      <c r="AK4" s="14"/>
      <c r="AL4" s="14"/>
      <c r="AM4" s="12"/>
      <c r="AN4" s="12"/>
      <c r="AO4" s="12"/>
      <c r="AP4" s="12"/>
      <c r="AQ4" s="16"/>
      <c r="AR4" s="16"/>
      <c r="AS4" s="14"/>
      <c r="AT4" s="14"/>
      <c r="AU4" s="14"/>
      <c r="AV4" s="14"/>
      <c r="AW4" s="12"/>
      <c r="AX4" s="12"/>
      <c r="AY4" s="12"/>
      <c r="AZ4" s="12"/>
      <c r="BA4" s="12"/>
      <c r="BB4" s="12"/>
      <c r="BC4" s="12"/>
      <c r="BD4" s="12"/>
      <c r="BE4" s="56"/>
      <c r="BF4" s="57"/>
      <c r="BG4" s="57"/>
      <c r="BH4" s="57"/>
      <c r="BI4" s="57"/>
      <c r="BJ4" s="57"/>
      <c r="BK4" s="57"/>
      <c r="BL4" s="57"/>
      <c r="BM4" s="57"/>
      <c r="BN4" s="57"/>
      <c r="BO4" s="57"/>
      <c r="BQ4" s="61">
        <v>15</v>
      </c>
      <c r="BR4" s="58">
        <v>259200</v>
      </c>
      <c r="BS4" s="61">
        <v>2</v>
      </c>
      <c r="BT4" s="58">
        <v>0</v>
      </c>
    </row>
    <row r="5" spans="1:72" ht="14.45" customHeight="1" x14ac:dyDescent="0.25">
      <c r="A5" s="11">
        <f t="shared" ref="A5:A36" si="0">A4+1</f>
        <v>1</v>
      </c>
      <c r="B5" s="11">
        <v>1</v>
      </c>
      <c r="C5" s="31">
        <v>0</v>
      </c>
      <c r="D5" s="37">
        <v>4</v>
      </c>
      <c r="E5" s="31">
        <v>5</v>
      </c>
      <c r="F5" s="31">
        <v>25</v>
      </c>
      <c r="G5" s="31">
        <v>15</v>
      </c>
      <c r="H5" s="31">
        <v>15</v>
      </c>
      <c r="I5" s="31">
        <v>240</v>
      </c>
      <c r="J5" s="31">
        <v>12</v>
      </c>
      <c r="K5" s="31">
        <v>-4</v>
      </c>
      <c r="L5" s="15"/>
      <c r="M5" s="15"/>
      <c r="N5" s="15">
        <v>300</v>
      </c>
      <c r="O5" s="15"/>
      <c r="P5" s="15"/>
      <c r="Q5" s="31">
        <v>0</v>
      </c>
      <c r="R5" s="31">
        <v>0</v>
      </c>
      <c r="S5" s="15">
        <v>1200</v>
      </c>
      <c r="T5" s="15">
        <v>1200</v>
      </c>
      <c r="U5" s="15"/>
      <c r="V5" s="15"/>
      <c r="W5" s="30">
        <v>1</v>
      </c>
      <c r="X5" s="30">
        <v>1</v>
      </c>
      <c r="Y5" s="30">
        <v>0</v>
      </c>
      <c r="Z5" s="30">
        <v>0</v>
      </c>
      <c r="AB5" s="20">
        <v>1</v>
      </c>
      <c r="AC5" s="12"/>
      <c r="AD5" s="13"/>
      <c r="AE5" s="14"/>
      <c r="AF5" s="14"/>
      <c r="AG5" s="14"/>
      <c r="AH5" s="12"/>
      <c r="AI5" s="14"/>
      <c r="AJ5" s="14"/>
      <c r="AK5" s="14"/>
      <c r="AL5" s="14"/>
      <c r="AM5" s="12"/>
      <c r="AN5" s="12"/>
      <c r="AO5" s="12"/>
      <c r="AP5" s="12"/>
      <c r="AQ5" s="16"/>
      <c r="AR5" s="16"/>
      <c r="AS5" s="14"/>
      <c r="AT5" s="14"/>
      <c r="AU5" s="14"/>
      <c r="AV5" s="14"/>
      <c r="AW5" s="12"/>
      <c r="AX5" s="12"/>
      <c r="AY5" s="12"/>
      <c r="AZ5" s="12"/>
      <c r="BA5" s="12"/>
      <c r="BB5" s="12"/>
      <c r="BC5" s="12"/>
      <c r="BD5" s="12"/>
      <c r="BE5" s="56">
        <v>-86400</v>
      </c>
      <c r="BF5" s="57">
        <v>0</v>
      </c>
      <c r="BG5" s="57">
        <v>5760</v>
      </c>
      <c r="BH5" s="57">
        <v>0</v>
      </c>
      <c r="BI5" s="57">
        <v>19.200000000000003</v>
      </c>
      <c r="BJ5" s="57">
        <v>15</v>
      </c>
      <c r="BK5" s="57">
        <v>0</v>
      </c>
      <c r="BL5" s="57">
        <v>0</v>
      </c>
      <c r="BM5" s="57">
        <v>0</v>
      </c>
      <c r="BN5" s="57">
        <v>0</v>
      </c>
      <c r="BO5" s="57">
        <v>0</v>
      </c>
      <c r="BP5" s="58">
        <v>15</v>
      </c>
      <c r="BQ5" s="61">
        <v>15</v>
      </c>
      <c r="BR5" s="58">
        <v>172800</v>
      </c>
      <c r="BS5" s="61">
        <v>0</v>
      </c>
      <c r="BT5" s="58">
        <v>0</v>
      </c>
    </row>
    <row r="6" spans="1:72" ht="14.45" customHeight="1" x14ac:dyDescent="0.25">
      <c r="A6" s="11">
        <f t="shared" si="0"/>
        <v>2</v>
      </c>
      <c r="B6" s="11">
        <v>2</v>
      </c>
      <c r="C6" s="31">
        <v>0</v>
      </c>
      <c r="D6" s="37">
        <v>4</v>
      </c>
      <c r="E6" s="31">
        <v>5</v>
      </c>
      <c r="F6" s="31">
        <v>25</v>
      </c>
      <c r="G6" s="31">
        <v>15</v>
      </c>
      <c r="H6" s="31">
        <v>15</v>
      </c>
      <c r="I6" s="31">
        <v>240</v>
      </c>
      <c r="J6" s="31">
        <v>12</v>
      </c>
      <c r="K6" s="31">
        <v>-4</v>
      </c>
      <c r="L6" s="15"/>
      <c r="M6" s="15"/>
      <c r="N6" s="15">
        <v>300</v>
      </c>
      <c r="O6" s="15"/>
      <c r="P6" s="15"/>
      <c r="Q6" s="31">
        <v>0</v>
      </c>
      <c r="R6" s="31">
        <v>0</v>
      </c>
      <c r="S6" s="15">
        <v>1200</v>
      </c>
      <c r="T6" s="15">
        <v>1200</v>
      </c>
      <c r="U6" s="15"/>
      <c r="V6" s="15"/>
      <c r="W6" s="30">
        <v>1</v>
      </c>
      <c r="X6" s="30">
        <v>1</v>
      </c>
      <c r="Y6" s="30">
        <v>0</v>
      </c>
      <c r="Z6" s="30">
        <v>0</v>
      </c>
      <c r="AB6" s="20">
        <v>2</v>
      </c>
      <c r="AC6" s="12"/>
      <c r="AD6" s="13"/>
      <c r="AE6" s="14"/>
      <c r="AF6" s="14"/>
      <c r="AG6" s="14"/>
      <c r="AH6" s="12"/>
      <c r="AI6" s="14"/>
      <c r="AJ6" s="14"/>
      <c r="AK6" s="14"/>
      <c r="AL6" s="14"/>
      <c r="AM6" s="12"/>
      <c r="AN6" s="12"/>
      <c r="AO6" s="12"/>
      <c r="AP6" s="12"/>
      <c r="AQ6" s="16"/>
      <c r="AR6" s="16"/>
      <c r="AS6" s="14"/>
      <c r="AT6" s="14"/>
      <c r="AU6" s="14"/>
      <c r="AV6" s="14"/>
      <c r="AW6" s="12"/>
      <c r="AX6" s="12"/>
      <c r="AY6" s="12"/>
      <c r="AZ6" s="12"/>
      <c r="BA6" s="12"/>
      <c r="BB6" s="12"/>
      <c r="BC6" s="12"/>
      <c r="BD6" s="12"/>
      <c r="BE6" s="56">
        <v>-69344.501010746564</v>
      </c>
      <c r="BF6" s="57">
        <v>6934.4501010746562</v>
      </c>
      <c r="BG6" s="57">
        <v>6934.4501010746562</v>
      </c>
      <c r="BH6" s="57">
        <v>5.7787084175622141</v>
      </c>
      <c r="BI6" s="57">
        <v>5.7787084175622141</v>
      </c>
      <c r="BJ6" s="57">
        <v>15</v>
      </c>
      <c r="BK6" s="57">
        <v>0</v>
      </c>
      <c r="BL6" s="57">
        <v>0</v>
      </c>
      <c r="BM6" s="57">
        <v>0</v>
      </c>
      <c r="BN6" s="57">
        <v>0</v>
      </c>
      <c r="BO6" s="57">
        <v>0</v>
      </c>
      <c r="BP6" s="58">
        <v>15</v>
      </c>
      <c r="BQ6" s="61">
        <v>8.9805120650393615</v>
      </c>
      <c r="BR6" s="58">
        <v>103455.49898925344</v>
      </c>
      <c r="BS6" s="61">
        <v>0</v>
      </c>
      <c r="BT6" s="58">
        <v>0</v>
      </c>
    </row>
    <row r="7" spans="1:72" ht="14.45" customHeight="1" x14ac:dyDescent="0.25">
      <c r="A7" s="11">
        <f t="shared" si="0"/>
        <v>3</v>
      </c>
      <c r="B7" s="11">
        <v>3</v>
      </c>
      <c r="C7" s="31">
        <v>0</v>
      </c>
      <c r="D7" s="37">
        <v>4</v>
      </c>
      <c r="E7" s="31">
        <v>5</v>
      </c>
      <c r="F7" s="31">
        <v>25</v>
      </c>
      <c r="G7" s="31">
        <v>15</v>
      </c>
      <c r="H7" s="31">
        <v>15</v>
      </c>
      <c r="I7" s="31">
        <v>240</v>
      </c>
      <c r="J7" s="31">
        <v>12</v>
      </c>
      <c r="K7" s="31">
        <v>-4</v>
      </c>
      <c r="L7" s="15"/>
      <c r="M7" s="15"/>
      <c r="N7" s="15">
        <v>300</v>
      </c>
      <c r="O7" s="15"/>
      <c r="P7" s="15"/>
      <c r="Q7" s="31">
        <v>0</v>
      </c>
      <c r="R7" s="31">
        <v>0</v>
      </c>
      <c r="S7" s="15">
        <v>1200</v>
      </c>
      <c r="T7" s="15">
        <v>1200</v>
      </c>
      <c r="U7" s="15"/>
      <c r="V7" s="15"/>
      <c r="W7" s="30">
        <v>1</v>
      </c>
      <c r="X7" s="30">
        <v>1</v>
      </c>
      <c r="Y7" s="30">
        <v>0</v>
      </c>
      <c r="Z7" s="30">
        <v>0</v>
      </c>
      <c r="AB7" s="20">
        <v>3</v>
      </c>
      <c r="AC7" s="12"/>
      <c r="AD7" s="13"/>
      <c r="AE7" s="14"/>
      <c r="AF7" s="14"/>
      <c r="AG7" s="14"/>
      <c r="AH7" s="12"/>
      <c r="AI7" s="14"/>
      <c r="AJ7" s="14"/>
      <c r="AK7" s="14"/>
      <c r="AL7" s="14"/>
      <c r="AM7" s="12"/>
      <c r="AN7" s="12"/>
      <c r="AO7" s="12"/>
      <c r="AP7" s="12"/>
      <c r="AQ7" s="16"/>
      <c r="AR7" s="16"/>
      <c r="AS7" s="14"/>
      <c r="AT7" s="14"/>
      <c r="AU7" s="14"/>
      <c r="AV7" s="14"/>
      <c r="AW7" s="12"/>
      <c r="AX7" s="12"/>
      <c r="AY7" s="12"/>
      <c r="AZ7" s="12"/>
      <c r="BA7" s="12"/>
      <c r="BB7" s="12"/>
      <c r="BC7" s="12"/>
      <c r="BD7" s="12"/>
      <c r="BE7" s="56">
        <v>0</v>
      </c>
      <c r="BF7" s="57">
        <v>0</v>
      </c>
      <c r="BG7" s="57">
        <v>0</v>
      </c>
      <c r="BH7" s="57">
        <v>0</v>
      </c>
      <c r="BI7" s="57">
        <v>0</v>
      </c>
      <c r="BJ7" s="57">
        <v>8.9805120650393615</v>
      </c>
      <c r="BK7" s="57">
        <v>-288000</v>
      </c>
      <c r="BL7" s="57">
        <v>11520</v>
      </c>
      <c r="BM7" s="57">
        <v>0</v>
      </c>
      <c r="BN7" s="57">
        <v>38.400000000000006</v>
      </c>
      <c r="BO7" s="57">
        <v>0</v>
      </c>
      <c r="BP7" s="58">
        <v>8.9805120650393615</v>
      </c>
      <c r="BQ7" s="61">
        <v>16.990256032519678</v>
      </c>
      <c r="BR7" s="58">
        <v>391455.49898925342</v>
      </c>
      <c r="BS7" s="61">
        <v>4</v>
      </c>
      <c r="BT7" s="58">
        <v>0</v>
      </c>
    </row>
    <row r="8" spans="1:72" ht="14.45" customHeight="1" x14ac:dyDescent="0.25">
      <c r="A8" s="11">
        <f t="shared" si="0"/>
        <v>4</v>
      </c>
      <c r="B8" s="11">
        <v>4</v>
      </c>
      <c r="C8" s="31">
        <v>0</v>
      </c>
      <c r="D8" s="37">
        <v>4</v>
      </c>
      <c r="E8" s="31">
        <v>5</v>
      </c>
      <c r="F8" s="31">
        <v>25</v>
      </c>
      <c r="G8" s="31">
        <v>15</v>
      </c>
      <c r="H8" s="31">
        <v>15</v>
      </c>
      <c r="I8" s="31">
        <v>240</v>
      </c>
      <c r="J8" s="31">
        <v>12</v>
      </c>
      <c r="K8" s="31">
        <v>-4</v>
      </c>
      <c r="L8" s="15"/>
      <c r="M8" s="15"/>
      <c r="N8" s="15">
        <v>300</v>
      </c>
      <c r="O8" s="15"/>
      <c r="P8" s="15"/>
      <c r="Q8" s="31">
        <v>0</v>
      </c>
      <c r="R8" s="31">
        <v>0</v>
      </c>
      <c r="S8" s="15">
        <v>1200</v>
      </c>
      <c r="T8" s="15">
        <v>1200</v>
      </c>
      <c r="U8" s="15"/>
      <c r="V8" s="15"/>
      <c r="W8" s="30">
        <v>1</v>
      </c>
      <c r="X8" s="30">
        <v>1</v>
      </c>
      <c r="Y8" s="30">
        <v>0</v>
      </c>
      <c r="Z8" s="30">
        <v>0</v>
      </c>
      <c r="AB8" s="20">
        <v>4</v>
      </c>
      <c r="AC8" s="12"/>
      <c r="AD8" s="13"/>
      <c r="AE8" s="14"/>
      <c r="AF8" s="14"/>
      <c r="AG8" s="14"/>
      <c r="AH8" s="12"/>
      <c r="AI8" s="14"/>
      <c r="AJ8" s="14"/>
      <c r="AK8" s="14"/>
      <c r="AL8" s="14"/>
      <c r="AM8" s="12"/>
      <c r="AN8" s="12"/>
      <c r="AO8" s="12"/>
      <c r="AP8" s="12"/>
      <c r="AQ8" s="16"/>
      <c r="AR8" s="16"/>
      <c r="AS8" s="14"/>
      <c r="AT8" s="14"/>
      <c r="AU8" s="14"/>
      <c r="AV8" s="14"/>
      <c r="AW8" s="12"/>
      <c r="AX8" s="12"/>
      <c r="AY8" s="12"/>
      <c r="AZ8" s="12"/>
      <c r="BA8" s="12"/>
      <c r="BB8" s="12"/>
      <c r="BC8" s="12"/>
      <c r="BD8" s="12"/>
      <c r="BE8" s="56">
        <v>0</v>
      </c>
      <c r="BF8" s="57">
        <v>0</v>
      </c>
      <c r="BG8" s="57">
        <v>0</v>
      </c>
      <c r="BH8" s="57">
        <v>0</v>
      </c>
      <c r="BI8" s="57">
        <v>0</v>
      </c>
      <c r="BJ8" s="57">
        <v>16.990256032519678</v>
      </c>
      <c r="BK8" s="57">
        <v>-130541.42690175341</v>
      </c>
      <c r="BL8" s="57">
        <v>16297.82767486121</v>
      </c>
      <c r="BM8" s="57">
        <v>16297.82767486121</v>
      </c>
      <c r="BN8" s="57">
        <v>13.581523062384342</v>
      </c>
      <c r="BO8" s="57">
        <v>13.581523062384342</v>
      </c>
      <c r="BP8" s="58">
        <v>-33.009743967480325</v>
      </c>
      <c r="BQ8" s="61">
        <v>22.656116575130504</v>
      </c>
      <c r="BR8" s="58">
        <v>521996.92589100683</v>
      </c>
      <c r="BS8" s="61">
        <v>4</v>
      </c>
      <c r="BT8" s="58">
        <v>0</v>
      </c>
    </row>
    <row r="9" spans="1:72" ht="14.45" customHeight="1" x14ac:dyDescent="0.25">
      <c r="A9" s="11">
        <f t="shared" si="0"/>
        <v>5</v>
      </c>
      <c r="B9" s="11">
        <v>1</v>
      </c>
      <c r="C9" s="31">
        <v>0</v>
      </c>
      <c r="D9" s="37">
        <v>4</v>
      </c>
      <c r="E9" s="31">
        <v>5</v>
      </c>
      <c r="F9" s="31">
        <v>25</v>
      </c>
      <c r="G9" s="31">
        <v>15</v>
      </c>
      <c r="H9" s="31">
        <v>15</v>
      </c>
      <c r="I9" s="31">
        <v>240</v>
      </c>
      <c r="J9" s="31">
        <v>12</v>
      </c>
      <c r="K9" s="31">
        <v>-4</v>
      </c>
      <c r="L9" s="15"/>
      <c r="M9" s="15"/>
      <c r="N9" s="15">
        <v>300</v>
      </c>
      <c r="O9" s="15"/>
      <c r="P9" s="15"/>
      <c r="Q9" s="31">
        <v>0</v>
      </c>
      <c r="R9" s="31">
        <v>0</v>
      </c>
      <c r="S9" s="15">
        <v>1200</v>
      </c>
      <c r="T9" s="15">
        <v>1200</v>
      </c>
      <c r="U9" s="15"/>
      <c r="V9" s="15"/>
      <c r="W9" s="30">
        <v>1</v>
      </c>
      <c r="X9" s="30">
        <v>1</v>
      </c>
      <c r="Y9" s="30">
        <v>0</v>
      </c>
      <c r="Z9" s="30">
        <v>0</v>
      </c>
      <c r="AB9" s="20">
        <v>5</v>
      </c>
      <c r="AC9" s="12"/>
      <c r="AD9" s="13"/>
      <c r="AE9" s="14"/>
      <c r="AF9" s="14"/>
      <c r="AG9" s="14"/>
      <c r="AH9" s="12"/>
      <c r="AI9" s="14"/>
      <c r="AJ9" s="14"/>
      <c r="AK9" s="14"/>
      <c r="AL9" s="14"/>
      <c r="AM9" s="12"/>
      <c r="AN9" s="12"/>
      <c r="AO9" s="12"/>
      <c r="AP9" s="12"/>
      <c r="AQ9" s="16"/>
      <c r="AR9" s="16"/>
      <c r="AS9" s="14"/>
      <c r="AT9" s="14"/>
      <c r="AU9" s="14"/>
      <c r="AV9" s="14"/>
      <c r="AW9" s="12"/>
      <c r="AX9" s="12"/>
      <c r="AY9" s="12"/>
      <c r="AZ9" s="12"/>
      <c r="BA9" s="12"/>
      <c r="BB9" s="12"/>
      <c r="BC9" s="12"/>
      <c r="BD9" s="12"/>
      <c r="BE9" s="56">
        <v>-260998.46294550342</v>
      </c>
      <c r="BF9" s="57">
        <v>0</v>
      </c>
      <c r="BG9" s="57">
        <v>11520</v>
      </c>
      <c r="BH9" s="57">
        <v>0</v>
      </c>
      <c r="BI9" s="57">
        <v>38.400000000000006</v>
      </c>
      <c r="BJ9" s="57">
        <v>22.656116575130504</v>
      </c>
      <c r="BK9" s="57">
        <v>0</v>
      </c>
      <c r="BL9" s="57">
        <v>0</v>
      </c>
      <c r="BM9" s="57">
        <v>0</v>
      </c>
      <c r="BN9" s="57">
        <v>0</v>
      </c>
      <c r="BO9" s="57">
        <v>0</v>
      </c>
      <c r="BP9" s="58">
        <v>22.656116575130504</v>
      </c>
      <c r="BQ9" s="61">
        <v>22.656116575130504</v>
      </c>
      <c r="BR9" s="58">
        <v>260998.46294550342</v>
      </c>
      <c r="BS9" s="61">
        <v>0</v>
      </c>
      <c r="BT9" s="58">
        <v>0</v>
      </c>
    </row>
    <row r="10" spans="1:72" ht="14.45" customHeight="1" x14ac:dyDescent="0.25">
      <c r="A10" s="11">
        <f t="shared" si="0"/>
        <v>6</v>
      </c>
      <c r="B10" s="11">
        <v>2</v>
      </c>
      <c r="C10" s="31">
        <v>0</v>
      </c>
      <c r="D10" s="37">
        <v>4</v>
      </c>
      <c r="E10" s="31">
        <v>5</v>
      </c>
      <c r="F10" s="31">
        <v>25</v>
      </c>
      <c r="G10" s="31">
        <v>15</v>
      </c>
      <c r="H10" s="31">
        <v>15</v>
      </c>
      <c r="I10" s="31">
        <v>240</v>
      </c>
      <c r="J10" s="31">
        <v>12</v>
      </c>
      <c r="K10" s="31">
        <v>-4</v>
      </c>
      <c r="L10" s="15"/>
      <c r="M10" s="15"/>
      <c r="N10" s="15">
        <v>300</v>
      </c>
      <c r="O10" s="15"/>
      <c r="P10" s="15"/>
      <c r="Q10" s="31">
        <v>0</v>
      </c>
      <c r="R10" s="31">
        <v>0</v>
      </c>
      <c r="S10" s="15">
        <v>1200</v>
      </c>
      <c r="T10" s="15">
        <v>1200</v>
      </c>
      <c r="U10" s="15"/>
      <c r="V10" s="15"/>
      <c r="W10" s="30">
        <v>1</v>
      </c>
      <c r="X10" s="30">
        <v>1</v>
      </c>
      <c r="Y10" s="30">
        <v>0</v>
      </c>
      <c r="Z10" s="30">
        <v>0</v>
      </c>
      <c r="AB10" s="20">
        <v>6</v>
      </c>
      <c r="AC10" s="12"/>
      <c r="AD10" s="13"/>
      <c r="AE10" s="14"/>
      <c r="AF10" s="14"/>
      <c r="AG10" s="14"/>
      <c r="AH10" s="12"/>
      <c r="AI10" s="14"/>
      <c r="AJ10" s="14"/>
      <c r="AK10" s="14"/>
      <c r="AL10" s="14"/>
      <c r="AM10" s="12"/>
      <c r="AN10" s="12"/>
      <c r="AO10" s="12"/>
      <c r="AP10" s="12"/>
      <c r="AQ10" s="16"/>
      <c r="AR10" s="16"/>
      <c r="AS10" s="14"/>
      <c r="AT10" s="14"/>
      <c r="AU10" s="14"/>
      <c r="AV10" s="14"/>
      <c r="AW10" s="12"/>
      <c r="AX10" s="12"/>
      <c r="AY10" s="12"/>
      <c r="AZ10" s="12"/>
      <c r="BA10" s="12"/>
      <c r="BB10" s="12"/>
      <c r="BC10" s="12"/>
      <c r="BD10" s="12"/>
      <c r="BE10" s="56">
        <v>-148225.71195171375</v>
      </c>
      <c r="BF10" s="57">
        <v>8395.1480112278405</v>
      </c>
      <c r="BG10" s="57">
        <v>8395.1480112278405</v>
      </c>
      <c r="BH10" s="57">
        <v>6.9959566760232006</v>
      </c>
      <c r="BI10" s="57">
        <v>6.9959566760232006</v>
      </c>
      <c r="BJ10" s="57">
        <v>22.656116575130504</v>
      </c>
      <c r="BK10" s="57">
        <v>0</v>
      </c>
      <c r="BL10" s="57">
        <v>0</v>
      </c>
      <c r="BM10" s="57">
        <v>0</v>
      </c>
      <c r="BN10" s="57">
        <v>0</v>
      </c>
      <c r="BO10" s="57">
        <v>0</v>
      </c>
      <c r="BP10" s="58">
        <v>22.656116575130504</v>
      </c>
      <c r="BQ10" s="61">
        <v>9.7893013015442421</v>
      </c>
      <c r="BR10" s="58">
        <v>112772.75099378967</v>
      </c>
      <c r="BS10" s="61">
        <v>0</v>
      </c>
      <c r="BT10" s="58">
        <v>0</v>
      </c>
    </row>
    <row r="11" spans="1:72" ht="14.45" customHeight="1" x14ac:dyDescent="0.25">
      <c r="A11" s="11">
        <f t="shared" si="0"/>
        <v>7</v>
      </c>
      <c r="B11" s="11">
        <v>3</v>
      </c>
      <c r="C11" s="31">
        <v>0</v>
      </c>
      <c r="D11" s="37">
        <v>4</v>
      </c>
      <c r="E11" s="31">
        <v>5</v>
      </c>
      <c r="F11" s="31">
        <v>25</v>
      </c>
      <c r="G11" s="31">
        <v>15</v>
      </c>
      <c r="H11" s="31">
        <v>15</v>
      </c>
      <c r="I11" s="31">
        <v>240</v>
      </c>
      <c r="J11" s="31">
        <v>12</v>
      </c>
      <c r="K11" s="31">
        <v>-4</v>
      </c>
      <c r="L11" s="15"/>
      <c r="M11" s="15"/>
      <c r="N11" s="15">
        <v>300</v>
      </c>
      <c r="O11" s="15"/>
      <c r="P11" s="15"/>
      <c r="Q11" s="31">
        <v>0</v>
      </c>
      <c r="R11" s="31">
        <v>0</v>
      </c>
      <c r="S11" s="15">
        <v>1200</v>
      </c>
      <c r="T11" s="15">
        <v>1200</v>
      </c>
      <c r="U11" s="15"/>
      <c r="V11" s="15"/>
      <c r="W11" s="30">
        <v>1</v>
      </c>
      <c r="X11" s="30">
        <v>1</v>
      </c>
      <c r="Y11" s="30">
        <v>0</v>
      </c>
      <c r="Z11" s="30">
        <v>0</v>
      </c>
      <c r="AB11" s="20">
        <v>7</v>
      </c>
      <c r="AC11" s="12"/>
      <c r="AD11" s="13"/>
      <c r="AE11" s="14"/>
      <c r="AF11" s="14"/>
      <c r="AG11" s="14"/>
      <c r="AH11" s="12"/>
      <c r="AI11" s="14"/>
      <c r="AJ11" s="14"/>
      <c r="AK11" s="14"/>
      <c r="AL11" s="14"/>
      <c r="AM11" s="12"/>
      <c r="AN11" s="12"/>
      <c r="AO11" s="12"/>
      <c r="AP11" s="12"/>
      <c r="AQ11" s="16"/>
      <c r="AR11" s="16"/>
      <c r="AS11" s="14"/>
      <c r="AT11" s="14"/>
      <c r="AU11" s="14"/>
      <c r="AV11" s="14"/>
      <c r="AW11" s="12"/>
      <c r="AX11" s="12"/>
      <c r="AY11" s="12"/>
      <c r="AZ11" s="12"/>
      <c r="BA11" s="12"/>
      <c r="BB11" s="12"/>
      <c r="BC11" s="12"/>
      <c r="BD11" s="12"/>
      <c r="BE11" s="56">
        <v>0</v>
      </c>
      <c r="BF11" s="57">
        <v>0</v>
      </c>
      <c r="BG11" s="57">
        <v>0</v>
      </c>
      <c r="BH11" s="57">
        <v>0</v>
      </c>
      <c r="BI11" s="57">
        <v>0</v>
      </c>
      <c r="BJ11" s="57">
        <v>9.7893013015442421</v>
      </c>
      <c r="BK11" s="57">
        <v>-288000</v>
      </c>
      <c r="BL11" s="57">
        <v>11520</v>
      </c>
      <c r="BM11" s="57">
        <v>0</v>
      </c>
      <c r="BN11" s="57">
        <v>38.400000000000006</v>
      </c>
      <c r="BO11" s="57">
        <v>0</v>
      </c>
      <c r="BP11" s="58">
        <v>9.7893013015442421</v>
      </c>
      <c r="BQ11" s="61">
        <v>17.394650650772121</v>
      </c>
      <c r="BR11" s="58">
        <v>400772.75099378964</v>
      </c>
      <c r="BS11" s="61">
        <v>4</v>
      </c>
      <c r="BT11" s="58">
        <v>0</v>
      </c>
    </row>
    <row r="12" spans="1:72" ht="14.45" customHeight="1" x14ac:dyDescent="0.25">
      <c r="A12" s="11">
        <f t="shared" si="0"/>
        <v>8</v>
      </c>
      <c r="B12" s="11">
        <v>4</v>
      </c>
      <c r="C12" s="31">
        <v>0</v>
      </c>
      <c r="D12" s="37">
        <v>4</v>
      </c>
      <c r="E12" s="31">
        <v>5</v>
      </c>
      <c r="F12" s="31">
        <v>25</v>
      </c>
      <c r="G12" s="31">
        <v>15</v>
      </c>
      <c r="H12" s="31">
        <v>15</v>
      </c>
      <c r="I12" s="31">
        <v>240</v>
      </c>
      <c r="J12" s="31">
        <v>12</v>
      </c>
      <c r="K12" s="31">
        <v>-4</v>
      </c>
      <c r="L12" s="15"/>
      <c r="M12" s="15"/>
      <c r="N12" s="15">
        <v>300</v>
      </c>
      <c r="O12" s="15"/>
      <c r="P12" s="15"/>
      <c r="Q12" s="31">
        <v>0</v>
      </c>
      <c r="R12" s="31">
        <v>0</v>
      </c>
      <c r="S12" s="15">
        <v>1200</v>
      </c>
      <c r="T12" s="15">
        <v>1200</v>
      </c>
      <c r="U12" s="15"/>
      <c r="V12" s="15"/>
      <c r="W12" s="30">
        <v>1</v>
      </c>
      <c r="X12" s="30">
        <v>1</v>
      </c>
      <c r="Y12" s="30">
        <v>0</v>
      </c>
      <c r="Z12" s="30">
        <v>0</v>
      </c>
      <c r="AB12" s="20">
        <v>8</v>
      </c>
      <c r="AC12" s="12"/>
      <c r="AD12" s="13"/>
      <c r="AE12" s="14"/>
      <c r="AF12" s="14"/>
      <c r="AG12" s="14"/>
      <c r="AH12" s="12"/>
      <c r="AI12" s="14"/>
      <c r="AJ12" s="14"/>
      <c r="AK12" s="14"/>
      <c r="AL12" s="14"/>
      <c r="AM12" s="12"/>
      <c r="AN12" s="12"/>
      <c r="AO12" s="12"/>
      <c r="AP12" s="12"/>
      <c r="AQ12" s="16"/>
      <c r="AR12" s="16"/>
      <c r="AS12" s="14"/>
      <c r="AT12" s="14"/>
      <c r="AU12" s="14"/>
      <c r="AV12" s="14"/>
      <c r="AW12" s="12"/>
      <c r="AX12" s="12"/>
      <c r="AY12" s="12"/>
      <c r="AZ12" s="12"/>
      <c r="BA12" s="12"/>
      <c r="BB12" s="12"/>
      <c r="BC12" s="12"/>
      <c r="BD12" s="12"/>
      <c r="BE12" s="56">
        <v>0</v>
      </c>
      <c r="BF12" s="57">
        <v>0</v>
      </c>
      <c r="BG12" s="57">
        <v>0</v>
      </c>
      <c r="BH12" s="57">
        <v>0</v>
      </c>
      <c r="BI12" s="57">
        <v>0</v>
      </c>
      <c r="BJ12" s="57">
        <v>17.394650650772121</v>
      </c>
      <c r="BK12" s="57">
        <v>-121936.30196371826</v>
      </c>
      <c r="BL12" s="57">
        <v>16032.965267545225</v>
      </c>
      <c r="BM12" s="57">
        <v>16032.965267545225</v>
      </c>
      <c r="BN12" s="57">
        <v>13.360804389621022</v>
      </c>
      <c r="BO12" s="57">
        <v>13.360804389621022</v>
      </c>
      <c r="BP12" s="58">
        <v>-32.605349349227879</v>
      </c>
      <c r="BQ12" s="61">
        <v>22.687024867947393</v>
      </c>
      <c r="BR12" s="58">
        <v>522709.0529575079</v>
      </c>
      <c r="BS12" s="61">
        <v>4</v>
      </c>
      <c r="BT12" s="58">
        <v>0</v>
      </c>
    </row>
    <row r="13" spans="1:72" ht="14.45" customHeight="1" x14ac:dyDescent="0.25">
      <c r="A13" s="11">
        <f t="shared" si="0"/>
        <v>9</v>
      </c>
      <c r="B13" s="11">
        <v>1</v>
      </c>
      <c r="C13" s="31">
        <v>0</v>
      </c>
      <c r="D13" s="37">
        <v>4</v>
      </c>
      <c r="E13" s="31">
        <v>5</v>
      </c>
      <c r="F13" s="31">
        <v>25</v>
      </c>
      <c r="G13" s="31">
        <v>15</v>
      </c>
      <c r="H13" s="31">
        <v>15</v>
      </c>
      <c r="I13" s="31">
        <v>240</v>
      </c>
      <c r="J13" s="31">
        <v>12</v>
      </c>
      <c r="K13" s="31">
        <v>-4</v>
      </c>
      <c r="L13" s="15"/>
      <c r="M13" s="15"/>
      <c r="N13" s="15">
        <v>300</v>
      </c>
      <c r="O13" s="15"/>
      <c r="P13" s="15"/>
      <c r="Q13" s="31">
        <v>0</v>
      </c>
      <c r="R13" s="31">
        <v>0</v>
      </c>
      <c r="S13" s="15">
        <v>1200</v>
      </c>
      <c r="T13" s="15">
        <v>1200</v>
      </c>
      <c r="U13" s="15"/>
      <c r="V13" s="15"/>
      <c r="W13" s="30">
        <v>1</v>
      </c>
      <c r="X13" s="30">
        <v>1</v>
      </c>
      <c r="Y13" s="30">
        <v>0</v>
      </c>
      <c r="Z13" s="30">
        <v>0</v>
      </c>
      <c r="AB13" s="20">
        <v>9</v>
      </c>
      <c r="AC13" s="12"/>
      <c r="AD13" s="13"/>
      <c r="AE13" s="14"/>
      <c r="AF13" s="14"/>
      <c r="AG13" s="14"/>
      <c r="AH13" s="12"/>
      <c r="AI13" s="14"/>
      <c r="AJ13" s="14"/>
      <c r="AK13" s="14"/>
      <c r="AL13" s="14"/>
      <c r="AM13" s="12"/>
      <c r="AN13" s="12"/>
      <c r="AO13" s="12"/>
      <c r="AP13" s="12"/>
      <c r="AQ13" s="16"/>
      <c r="AR13" s="16"/>
      <c r="AS13" s="14"/>
      <c r="AT13" s="14"/>
      <c r="AU13" s="14"/>
      <c r="AV13" s="14"/>
      <c r="AW13" s="12"/>
      <c r="AX13" s="12"/>
      <c r="AY13" s="12"/>
      <c r="AZ13" s="12"/>
      <c r="BA13" s="12"/>
      <c r="BB13" s="12"/>
      <c r="BC13" s="12"/>
      <c r="BD13" s="12"/>
      <c r="BE13" s="56">
        <v>-261354.52647875398</v>
      </c>
      <c r="BF13" s="57">
        <v>0</v>
      </c>
      <c r="BG13" s="57">
        <v>11520</v>
      </c>
      <c r="BH13" s="57">
        <v>0</v>
      </c>
      <c r="BI13" s="57">
        <v>38.400000000000006</v>
      </c>
      <c r="BJ13" s="57">
        <v>22.687024867947393</v>
      </c>
      <c r="BK13" s="57">
        <v>0</v>
      </c>
      <c r="BL13" s="57">
        <v>0</v>
      </c>
      <c r="BM13" s="57">
        <v>0</v>
      </c>
      <c r="BN13" s="57">
        <v>0</v>
      </c>
      <c r="BO13" s="57">
        <v>0</v>
      </c>
      <c r="BP13" s="58">
        <v>22.687024867947393</v>
      </c>
      <c r="BQ13" s="61">
        <v>22.68702486794739</v>
      </c>
      <c r="BR13" s="58">
        <v>261354.52647875392</v>
      </c>
      <c r="BS13" s="61">
        <v>0</v>
      </c>
      <c r="BT13" s="58">
        <v>0</v>
      </c>
    </row>
    <row r="14" spans="1:72" ht="14.45" customHeight="1" x14ac:dyDescent="0.25">
      <c r="A14" s="11">
        <f t="shared" si="0"/>
        <v>10</v>
      </c>
      <c r="B14" s="11">
        <v>2</v>
      </c>
      <c r="C14" s="31">
        <v>0</v>
      </c>
      <c r="D14" s="37">
        <v>4</v>
      </c>
      <c r="E14" s="31">
        <v>5</v>
      </c>
      <c r="F14" s="31">
        <v>25</v>
      </c>
      <c r="G14" s="31">
        <v>15</v>
      </c>
      <c r="H14" s="31">
        <v>15</v>
      </c>
      <c r="I14" s="31">
        <v>240</v>
      </c>
      <c r="J14" s="31">
        <v>12</v>
      </c>
      <c r="K14" s="31">
        <v>-4</v>
      </c>
      <c r="L14" s="15"/>
      <c r="M14" s="15"/>
      <c r="N14" s="15">
        <v>300</v>
      </c>
      <c r="O14" s="15"/>
      <c r="P14" s="15"/>
      <c r="Q14" s="31">
        <v>0</v>
      </c>
      <c r="R14" s="31">
        <v>0</v>
      </c>
      <c r="S14" s="15">
        <v>1200</v>
      </c>
      <c r="T14" s="15">
        <v>1200</v>
      </c>
      <c r="U14" s="15"/>
      <c r="V14" s="15"/>
      <c r="W14" s="30">
        <v>1</v>
      </c>
      <c r="X14" s="30">
        <v>1</v>
      </c>
      <c r="Y14" s="30">
        <v>0</v>
      </c>
      <c r="Z14" s="30">
        <v>0</v>
      </c>
      <c r="AB14" s="20">
        <v>10</v>
      </c>
      <c r="AC14" s="12"/>
      <c r="AD14" s="13"/>
      <c r="AE14" s="14"/>
      <c r="AF14" s="14"/>
      <c r="AG14" s="14"/>
      <c r="AH14" s="12"/>
      <c r="AI14" s="14"/>
      <c r="AJ14" s="14"/>
      <c r="AK14" s="14"/>
      <c r="AL14" s="14"/>
      <c r="AM14" s="12"/>
      <c r="AN14" s="12"/>
      <c r="AO14" s="12"/>
      <c r="AP14" s="12"/>
      <c r="AQ14" s="16"/>
      <c r="AR14" s="16"/>
      <c r="AS14" s="14"/>
      <c r="AT14" s="14"/>
      <c r="AU14" s="14"/>
      <c r="AV14" s="14"/>
      <c r="AW14" s="12"/>
      <c r="AX14" s="12"/>
      <c r="AY14" s="12"/>
      <c r="AZ14" s="12"/>
      <c r="BA14" s="12"/>
      <c r="BB14" s="12"/>
      <c r="BC14" s="12"/>
      <c r="BD14" s="12"/>
      <c r="BE14" s="56">
        <v>-148562.88380444178</v>
      </c>
      <c r="BF14" s="57">
        <v>8399.5406188221623</v>
      </c>
      <c r="BG14" s="57">
        <v>8399.5406188221623</v>
      </c>
      <c r="BH14" s="57">
        <v>6.9996171823518027</v>
      </c>
      <c r="BI14" s="57">
        <v>6.9996171823518027</v>
      </c>
      <c r="BJ14" s="57">
        <v>22.68702486794739</v>
      </c>
      <c r="BK14" s="57">
        <v>0</v>
      </c>
      <c r="BL14" s="57">
        <v>0</v>
      </c>
      <c r="BM14" s="57">
        <v>0</v>
      </c>
      <c r="BN14" s="57">
        <v>0</v>
      </c>
      <c r="BO14" s="57">
        <v>0</v>
      </c>
      <c r="BP14" s="58">
        <v>22.68702486794739</v>
      </c>
      <c r="BQ14" s="61">
        <v>9.7909412043673729</v>
      </c>
      <c r="BR14" s="58">
        <v>112791.64267431214</v>
      </c>
      <c r="BS14" s="61">
        <v>0</v>
      </c>
      <c r="BT14" s="58">
        <v>0</v>
      </c>
    </row>
    <row r="15" spans="1:72" ht="14.45" customHeight="1" x14ac:dyDescent="0.25">
      <c r="A15" s="11">
        <f t="shared" si="0"/>
        <v>11</v>
      </c>
      <c r="B15" s="11">
        <v>3</v>
      </c>
      <c r="C15" s="31">
        <v>0</v>
      </c>
      <c r="D15" s="37">
        <v>4</v>
      </c>
      <c r="E15" s="31">
        <v>5</v>
      </c>
      <c r="F15" s="31">
        <v>25</v>
      </c>
      <c r="G15" s="31">
        <v>15</v>
      </c>
      <c r="H15" s="31">
        <v>15</v>
      </c>
      <c r="I15" s="31">
        <v>240</v>
      </c>
      <c r="J15" s="31">
        <v>12</v>
      </c>
      <c r="K15" s="31">
        <v>-4</v>
      </c>
      <c r="L15" s="15"/>
      <c r="M15" s="15"/>
      <c r="N15" s="15">
        <v>300</v>
      </c>
      <c r="O15" s="15"/>
      <c r="P15" s="15"/>
      <c r="Q15" s="31">
        <v>0</v>
      </c>
      <c r="R15" s="31">
        <v>0</v>
      </c>
      <c r="S15" s="15">
        <v>1200</v>
      </c>
      <c r="T15" s="15">
        <v>1200</v>
      </c>
      <c r="U15" s="15"/>
      <c r="V15" s="15"/>
      <c r="W15" s="30">
        <v>1</v>
      </c>
      <c r="X15" s="30">
        <v>1</v>
      </c>
      <c r="Y15" s="30">
        <v>0</v>
      </c>
      <c r="Z15" s="30">
        <v>0</v>
      </c>
      <c r="AB15" s="20">
        <v>11</v>
      </c>
      <c r="AC15" s="12"/>
      <c r="AD15" s="13"/>
      <c r="AE15" s="14"/>
      <c r="AF15" s="14"/>
      <c r="AG15" s="14"/>
      <c r="AH15" s="12"/>
      <c r="AI15" s="14"/>
      <c r="AJ15" s="14"/>
      <c r="AK15" s="14"/>
      <c r="AL15" s="14"/>
      <c r="AM15" s="12"/>
      <c r="AN15" s="12"/>
      <c r="AO15" s="12"/>
      <c r="AP15" s="12"/>
      <c r="AQ15" s="16"/>
      <c r="AR15" s="16"/>
      <c r="AS15" s="14"/>
      <c r="AT15" s="14"/>
      <c r="AU15" s="14"/>
      <c r="AV15" s="14"/>
      <c r="AW15" s="12"/>
      <c r="AX15" s="12"/>
      <c r="AY15" s="12"/>
      <c r="AZ15" s="12"/>
      <c r="BA15" s="12"/>
      <c r="BB15" s="12"/>
      <c r="BC15" s="12"/>
      <c r="BD15" s="12"/>
      <c r="BE15" s="56">
        <v>0</v>
      </c>
      <c r="BF15" s="57">
        <v>0</v>
      </c>
      <c r="BG15" s="57">
        <v>0</v>
      </c>
      <c r="BH15" s="57">
        <v>0</v>
      </c>
      <c r="BI15" s="57">
        <v>0</v>
      </c>
      <c r="BJ15" s="57">
        <v>9.7909412043673729</v>
      </c>
      <c r="BK15" s="57">
        <v>-288000</v>
      </c>
      <c r="BL15" s="57">
        <v>11520</v>
      </c>
      <c r="BM15" s="57">
        <v>0</v>
      </c>
      <c r="BN15" s="57">
        <v>38.400000000000006</v>
      </c>
      <c r="BO15" s="57">
        <v>0</v>
      </c>
      <c r="BP15" s="58">
        <v>9.7909412043673729</v>
      </c>
      <c r="BQ15" s="15">
        <v>17.395470602183686</v>
      </c>
      <c r="BR15" s="58">
        <v>400791.64267431211</v>
      </c>
      <c r="BS15" s="61">
        <v>4</v>
      </c>
      <c r="BT15" s="58">
        <v>0</v>
      </c>
    </row>
    <row r="16" spans="1:72" ht="14.45" customHeight="1" x14ac:dyDescent="0.25">
      <c r="A16" s="11">
        <f t="shared" si="0"/>
        <v>12</v>
      </c>
      <c r="B16" s="11">
        <v>4</v>
      </c>
      <c r="C16" s="31">
        <v>0</v>
      </c>
      <c r="D16" s="37">
        <v>4</v>
      </c>
      <c r="E16" s="31">
        <v>5</v>
      </c>
      <c r="F16" s="31">
        <v>25</v>
      </c>
      <c r="G16" s="31">
        <v>15</v>
      </c>
      <c r="H16" s="31">
        <v>15</v>
      </c>
      <c r="I16" s="31">
        <v>240</v>
      </c>
      <c r="J16" s="31">
        <v>12</v>
      </c>
      <c r="K16" s="31">
        <v>-4</v>
      </c>
      <c r="L16" s="15"/>
      <c r="M16" s="15"/>
      <c r="N16" s="15">
        <v>300</v>
      </c>
      <c r="O16" s="15"/>
      <c r="P16" s="15"/>
      <c r="Q16" s="31">
        <v>0</v>
      </c>
      <c r="R16" s="31">
        <v>0</v>
      </c>
      <c r="S16" s="15">
        <v>1200</v>
      </c>
      <c r="T16" s="15">
        <v>1200</v>
      </c>
      <c r="U16" s="15"/>
      <c r="V16" s="15"/>
      <c r="W16" s="30">
        <v>1</v>
      </c>
      <c r="X16" s="30">
        <v>1</v>
      </c>
      <c r="Y16" s="30">
        <v>0</v>
      </c>
      <c r="Z16" s="30">
        <v>0</v>
      </c>
      <c r="AB16" s="20">
        <v>12</v>
      </c>
      <c r="AC16" s="12"/>
      <c r="AD16" s="13"/>
      <c r="AE16" s="14"/>
      <c r="AF16" s="14"/>
      <c r="AG16" s="14"/>
      <c r="AH16" s="12"/>
      <c r="AI16" s="14"/>
      <c r="AJ16" s="14"/>
      <c r="AK16" s="14"/>
      <c r="AL16" s="14"/>
      <c r="AM16" s="12"/>
      <c r="AN16" s="12"/>
      <c r="AO16" s="12"/>
      <c r="AP16" s="12"/>
      <c r="AQ16" s="16"/>
      <c r="AR16" s="16"/>
      <c r="AS16" s="14"/>
      <c r="AT16" s="14"/>
      <c r="AU16" s="14"/>
      <c r="AV16" s="14"/>
      <c r="AW16" s="12"/>
      <c r="AX16" s="12"/>
      <c r="AY16" s="12"/>
      <c r="AZ16" s="12"/>
      <c r="BA16" s="12"/>
      <c r="BB16" s="12"/>
      <c r="BC16" s="12"/>
      <c r="BD16" s="12"/>
      <c r="BE16" s="56">
        <v>0</v>
      </c>
      <c r="BF16" s="57">
        <v>0</v>
      </c>
      <c r="BG16" s="57">
        <v>0</v>
      </c>
      <c r="BH16" s="57">
        <v>0</v>
      </c>
      <c r="BI16" s="57">
        <v>0</v>
      </c>
      <c r="BJ16" s="57">
        <v>17.395470602183686</v>
      </c>
      <c r="BK16" s="57">
        <v>-121918.95244474661</v>
      </c>
      <c r="BL16" s="57">
        <v>16032.412535581276</v>
      </c>
      <c r="BM16" s="57">
        <v>16032.412535581276</v>
      </c>
      <c r="BN16" s="57">
        <v>13.360343779651064</v>
      </c>
      <c r="BO16" s="57">
        <v>13.360343779651064</v>
      </c>
      <c r="BP16" s="58">
        <v>-32.604529397816314</v>
      </c>
      <c r="BQ16" s="61">
        <v>22.687091802042481</v>
      </c>
      <c r="BR16" s="58">
        <v>522710.59511905874</v>
      </c>
      <c r="BS16" s="61">
        <v>4</v>
      </c>
      <c r="BT16" s="58">
        <v>0</v>
      </c>
    </row>
    <row r="17" spans="1:72" ht="14.45" customHeight="1" x14ac:dyDescent="0.25">
      <c r="A17" s="11">
        <f t="shared" si="0"/>
        <v>13</v>
      </c>
      <c r="B17" s="11">
        <v>1</v>
      </c>
      <c r="C17" s="31">
        <v>0</v>
      </c>
      <c r="D17" s="37">
        <v>4</v>
      </c>
      <c r="E17" s="31">
        <v>5</v>
      </c>
      <c r="F17" s="31">
        <v>25</v>
      </c>
      <c r="G17" s="31">
        <v>15</v>
      </c>
      <c r="H17" s="31">
        <v>15</v>
      </c>
      <c r="I17" s="31">
        <v>240</v>
      </c>
      <c r="J17" s="31">
        <v>12</v>
      </c>
      <c r="K17" s="31">
        <v>-4</v>
      </c>
      <c r="L17" s="15"/>
      <c r="M17" s="15"/>
      <c r="N17" s="15">
        <v>300</v>
      </c>
      <c r="O17" s="15"/>
      <c r="P17" s="15"/>
      <c r="Q17" s="31">
        <v>0</v>
      </c>
      <c r="R17" s="31">
        <v>0</v>
      </c>
      <c r="S17" s="15">
        <v>1200</v>
      </c>
      <c r="T17" s="15">
        <v>1200</v>
      </c>
      <c r="U17" s="15"/>
      <c r="V17" s="15"/>
      <c r="W17" s="30">
        <v>1</v>
      </c>
      <c r="X17" s="30">
        <v>1</v>
      </c>
      <c r="Y17" s="30">
        <v>0</v>
      </c>
      <c r="Z17" s="30">
        <v>0</v>
      </c>
      <c r="AB17" s="20">
        <v>13</v>
      </c>
      <c r="AC17" s="12"/>
      <c r="AD17" s="13"/>
      <c r="AE17" s="14"/>
      <c r="AF17" s="14"/>
      <c r="AG17" s="14"/>
      <c r="AH17" s="12"/>
      <c r="AI17" s="14"/>
      <c r="AJ17" s="14"/>
      <c r="AK17" s="14"/>
      <c r="AL17" s="14"/>
      <c r="AM17" s="12"/>
      <c r="AN17" s="12"/>
      <c r="AO17" s="12"/>
      <c r="AP17" s="12"/>
      <c r="AQ17" s="16"/>
      <c r="AR17" s="16"/>
      <c r="AS17" s="14"/>
      <c r="AT17" s="14"/>
      <c r="AU17" s="14"/>
      <c r="AV17" s="14"/>
      <c r="AW17" s="12"/>
      <c r="AX17" s="12"/>
      <c r="AY17" s="12"/>
      <c r="AZ17" s="12"/>
      <c r="BA17" s="12"/>
      <c r="BB17" s="12"/>
      <c r="BC17" s="12"/>
      <c r="BD17" s="12"/>
      <c r="BE17" s="56">
        <v>-261355.29755952937</v>
      </c>
      <c r="BF17" s="57">
        <v>0</v>
      </c>
      <c r="BG17" s="57">
        <v>11520</v>
      </c>
      <c r="BH17" s="57">
        <v>0</v>
      </c>
      <c r="BI17" s="57">
        <v>38.400000000000006</v>
      </c>
      <c r="BJ17" s="57">
        <v>22.687091802042481</v>
      </c>
      <c r="BK17" s="57">
        <v>0</v>
      </c>
      <c r="BL17" s="57">
        <v>0</v>
      </c>
      <c r="BM17" s="57">
        <v>0</v>
      </c>
      <c r="BN17" s="57">
        <v>0</v>
      </c>
      <c r="BO17" s="57">
        <v>0</v>
      </c>
      <c r="BP17" s="58">
        <v>22.687091802042481</v>
      </c>
      <c r="BQ17" s="61">
        <v>22.687091802042481</v>
      </c>
      <c r="BR17" s="58">
        <v>261355.29755952937</v>
      </c>
      <c r="BS17" s="61">
        <v>0</v>
      </c>
      <c r="BT17" s="58">
        <v>0</v>
      </c>
    </row>
    <row r="18" spans="1:72" ht="14.45" customHeight="1" x14ac:dyDescent="0.25">
      <c r="A18" s="11">
        <f t="shared" si="0"/>
        <v>14</v>
      </c>
      <c r="B18" s="11">
        <v>2</v>
      </c>
      <c r="C18" s="31">
        <v>0</v>
      </c>
      <c r="D18" s="37">
        <v>4</v>
      </c>
      <c r="E18" s="31">
        <v>5</v>
      </c>
      <c r="F18" s="31">
        <v>25</v>
      </c>
      <c r="G18" s="31">
        <v>15</v>
      </c>
      <c r="H18" s="31">
        <v>15</v>
      </c>
      <c r="I18" s="31">
        <v>240</v>
      </c>
      <c r="J18" s="31">
        <v>12</v>
      </c>
      <c r="K18" s="31">
        <v>-4</v>
      </c>
      <c r="L18" s="15"/>
      <c r="M18" s="15"/>
      <c r="N18" s="15">
        <v>300</v>
      </c>
      <c r="O18" s="15"/>
      <c r="P18" s="15"/>
      <c r="Q18" s="31">
        <v>0</v>
      </c>
      <c r="R18" s="31">
        <v>0</v>
      </c>
      <c r="S18" s="15">
        <v>1200</v>
      </c>
      <c r="T18" s="15">
        <v>1200</v>
      </c>
      <c r="U18" s="15"/>
      <c r="V18" s="15"/>
      <c r="W18" s="30">
        <v>1</v>
      </c>
      <c r="X18" s="30">
        <v>1</v>
      </c>
      <c r="Y18" s="30">
        <v>0</v>
      </c>
      <c r="Z18" s="30">
        <v>0</v>
      </c>
      <c r="AB18" s="20">
        <v>14</v>
      </c>
      <c r="AC18" s="12"/>
      <c r="AD18" s="13"/>
      <c r="AE18" s="14"/>
      <c r="AF18" s="14"/>
      <c r="AG18" s="14"/>
      <c r="AH18" s="12"/>
      <c r="AI18" s="14"/>
      <c r="AJ18" s="14"/>
      <c r="AK18" s="14"/>
      <c r="AL18" s="14"/>
      <c r="AM18" s="12"/>
      <c r="AN18" s="12"/>
      <c r="AO18" s="12"/>
      <c r="AP18" s="12"/>
      <c r="AQ18" s="16"/>
      <c r="AR18" s="16"/>
      <c r="AS18" s="14"/>
      <c r="AT18" s="14"/>
      <c r="AU18" s="14"/>
      <c r="AV18" s="14"/>
      <c r="AW18" s="12"/>
      <c r="AX18" s="12"/>
      <c r="AY18" s="12"/>
      <c r="AZ18" s="12"/>
      <c r="BA18" s="12"/>
      <c r="BB18" s="12"/>
      <c r="BC18" s="12"/>
      <c r="BD18" s="12"/>
      <c r="BE18" s="56">
        <v>-148563.61409514735</v>
      </c>
      <c r="BF18" s="57">
        <v>8399.5501215180793</v>
      </c>
      <c r="BG18" s="57">
        <v>8399.5501215180793</v>
      </c>
      <c r="BH18" s="57">
        <v>6.9996251012650665</v>
      </c>
      <c r="BI18" s="57">
        <v>6.9996251012650665</v>
      </c>
      <c r="BJ18" s="57">
        <v>22.687091802042481</v>
      </c>
      <c r="BK18" s="57">
        <v>0</v>
      </c>
      <c r="BL18" s="57">
        <v>0</v>
      </c>
      <c r="BM18" s="57">
        <v>0</v>
      </c>
      <c r="BN18" s="57">
        <v>0</v>
      </c>
      <c r="BO18" s="57">
        <v>0</v>
      </c>
      <c r="BP18" s="58">
        <v>22.687091802042481</v>
      </c>
      <c r="BQ18" s="61">
        <v>9.7909447451720499</v>
      </c>
      <c r="BR18" s="58">
        <v>112791.68346438202</v>
      </c>
      <c r="BS18" s="61">
        <v>0</v>
      </c>
      <c r="BT18" s="58">
        <v>0</v>
      </c>
    </row>
    <row r="19" spans="1:72" x14ac:dyDescent="0.25">
      <c r="A19" s="11">
        <f t="shared" si="0"/>
        <v>15</v>
      </c>
      <c r="B19" s="11">
        <v>3</v>
      </c>
      <c r="C19" s="31">
        <v>0</v>
      </c>
      <c r="D19" s="37">
        <v>4</v>
      </c>
      <c r="E19" s="31">
        <v>5</v>
      </c>
      <c r="F19" s="31">
        <v>25</v>
      </c>
      <c r="G19" s="31">
        <v>15</v>
      </c>
      <c r="H19" s="31">
        <v>15</v>
      </c>
      <c r="I19" s="31">
        <v>240</v>
      </c>
      <c r="J19" s="31">
        <v>12</v>
      </c>
      <c r="K19" s="31">
        <v>-4</v>
      </c>
      <c r="L19" s="15"/>
      <c r="M19" s="15"/>
      <c r="N19" s="15">
        <v>300</v>
      </c>
      <c r="O19" s="15"/>
      <c r="P19" s="15"/>
      <c r="Q19" s="31">
        <v>0</v>
      </c>
      <c r="R19" s="31">
        <v>0</v>
      </c>
      <c r="S19" s="15">
        <v>1200</v>
      </c>
      <c r="T19" s="15">
        <v>1200</v>
      </c>
      <c r="U19" s="15"/>
      <c r="V19" s="15"/>
      <c r="W19" s="30">
        <v>1</v>
      </c>
      <c r="X19" s="30">
        <v>1</v>
      </c>
      <c r="Y19" s="30">
        <v>0</v>
      </c>
      <c r="Z19" s="30">
        <v>0</v>
      </c>
      <c r="AB19" s="20">
        <v>15</v>
      </c>
      <c r="AC19" s="12"/>
      <c r="AD19" s="13"/>
      <c r="AE19" s="14"/>
      <c r="AF19" s="14"/>
      <c r="AG19" s="14"/>
      <c r="AH19" s="12"/>
      <c r="AI19" s="14"/>
      <c r="AJ19" s="14"/>
      <c r="AK19" s="14"/>
      <c r="AL19" s="14"/>
      <c r="AM19" s="12"/>
      <c r="AN19" s="12"/>
      <c r="AO19" s="12"/>
      <c r="AP19" s="12"/>
      <c r="AQ19" s="16"/>
      <c r="AR19" s="16"/>
      <c r="AS19" s="14"/>
      <c r="AT19" s="14"/>
      <c r="AU19" s="14"/>
      <c r="AV19" s="14"/>
      <c r="AW19" s="12"/>
      <c r="AX19" s="12"/>
      <c r="AY19" s="12"/>
      <c r="AZ19" s="12"/>
      <c r="BA19" s="12"/>
      <c r="BB19" s="12"/>
      <c r="BC19" s="12"/>
      <c r="BD19" s="12"/>
      <c r="BE19" s="56">
        <v>0</v>
      </c>
      <c r="BF19" s="57">
        <v>0</v>
      </c>
      <c r="BG19" s="57">
        <v>0</v>
      </c>
      <c r="BH19" s="57">
        <v>0</v>
      </c>
      <c r="BI19" s="57">
        <v>0</v>
      </c>
      <c r="BJ19" s="57">
        <v>9.7909447451720499</v>
      </c>
      <c r="BK19" s="57">
        <v>-288000</v>
      </c>
      <c r="BL19" s="57">
        <v>11520</v>
      </c>
      <c r="BM19" s="57">
        <v>0</v>
      </c>
      <c r="BN19" s="57">
        <v>38.400000000000006</v>
      </c>
      <c r="BO19" s="57">
        <v>0</v>
      </c>
      <c r="BP19" s="58">
        <v>9.7909447451720499</v>
      </c>
      <c r="BQ19" s="61">
        <v>17.395472372586024</v>
      </c>
      <c r="BR19" s="58">
        <v>400791.68346438202</v>
      </c>
      <c r="BS19" s="61">
        <v>4</v>
      </c>
      <c r="BT19" s="58">
        <v>0</v>
      </c>
    </row>
    <row r="20" spans="1:72" ht="14.45" customHeight="1" x14ac:dyDescent="0.25">
      <c r="A20" s="11">
        <f t="shared" si="0"/>
        <v>16</v>
      </c>
      <c r="B20" s="11">
        <v>4</v>
      </c>
      <c r="C20" s="31">
        <v>0</v>
      </c>
      <c r="D20" s="37">
        <v>4</v>
      </c>
      <c r="E20" s="31">
        <v>5</v>
      </c>
      <c r="F20" s="31">
        <v>25</v>
      </c>
      <c r="G20" s="31">
        <v>15</v>
      </c>
      <c r="H20" s="31">
        <v>15</v>
      </c>
      <c r="I20" s="31">
        <v>240</v>
      </c>
      <c r="J20" s="31">
        <v>12</v>
      </c>
      <c r="K20" s="31">
        <v>-4</v>
      </c>
      <c r="L20" s="15"/>
      <c r="M20" s="15"/>
      <c r="N20" s="15">
        <v>300</v>
      </c>
      <c r="O20" s="15"/>
      <c r="P20" s="15"/>
      <c r="Q20" s="31">
        <v>0</v>
      </c>
      <c r="R20" s="31">
        <v>0</v>
      </c>
      <c r="S20" s="15">
        <v>1200</v>
      </c>
      <c r="T20" s="15">
        <v>1200</v>
      </c>
      <c r="U20" s="15"/>
      <c r="V20" s="15"/>
      <c r="W20" s="30">
        <v>1</v>
      </c>
      <c r="X20" s="30">
        <v>1</v>
      </c>
      <c r="Y20" s="30">
        <v>0</v>
      </c>
      <c r="Z20" s="30">
        <v>0</v>
      </c>
      <c r="AB20" s="20">
        <v>16</v>
      </c>
      <c r="AC20" s="12"/>
      <c r="AD20" s="13"/>
      <c r="AE20" s="14"/>
      <c r="AF20" s="14"/>
      <c r="AG20" s="14"/>
      <c r="AH20" s="12"/>
      <c r="AI20" s="14"/>
      <c r="AJ20" s="14"/>
      <c r="AK20" s="14"/>
      <c r="AL20" s="14"/>
      <c r="AM20" s="12"/>
      <c r="AN20" s="12"/>
      <c r="AO20" s="12"/>
      <c r="AP20" s="12"/>
      <c r="AQ20" s="16"/>
      <c r="AR20" s="16"/>
      <c r="AS20" s="14"/>
      <c r="AT20" s="14"/>
      <c r="AU20" s="14"/>
      <c r="AV20" s="14"/>
      <c r="AW20" s="12"/>
      <c r="AX20" s="12"/>
      <c r="AY20" s="12"/>
      <c r="AZ20" s="12"/>
      <c r="BA20" s="12"/>
      <c r="BB20" s="12"/>
      <c r="BC20" s="12"/>
      <c r="BD20" s="12"/>
      <c r="BE20" s="56">
        <v>0</v>
      </c>
      <c r="BF20" s="57">
        <v>0</v>
      </c>
      <c r="BG20" s="57">
        <v>0</v>
      </c>
      <c r="BH20" s="57">
        <v>0</v>
      </c>
      <c r="BI20" s="57">
        <v>0</v>
      </c>
      <c r="BJ20" s="57">
        <v>17.395472372586024</v>
      </c>
      <c r="BK20" s="57">
        <v>-121918.91498488576</v>
      </c>
      <c r="BL20" s="57">
        <v>16032.411342076479</v>
      </c>
      <c r="BM20" s="57">
        <v>16032.411342076479</v>
      </c>
      <c r="BN20" s="57">
        <v>13.360342785063732</v>
      </c>
      <c r="BO20" s="57">
        <v>13.360342785063732</v>
      </c>
      <c r="BP20" s="58">
        <v>-32.604527627413979</v>
      </c>
      <c r="BQ20" s="15">
        <v>22.687091946582804</v>
      </c>
      <c r="BR20" s="58">
        <v>522710.5984492678</v>
      </c>
      <c r="BS20" s="61">
        <v>4</v>
      </c>
      <c r="BT20" s="58">
        <v>0</v>
      </c>
    </row>
    <row r="21" spans="1:72" ht="14.45" customHeight="1" x14ac:dyDescent="0.25">
      <c r="A21" s="11">
        <f t="shared" si="0"/>
        <v>17</v>
      </c>
      <c r="B21" s="11">
        <v>1</v>
      </c>
      <c r="C21" s="31">
        <v>0</v>
      </c>
      <c r="D21" s="37">
        <v>4</v>
      </c>
      <c r="E21" s="31">
        <v>5</v>
      </c>
      <c r="F21" s="31">
        <v>25</v>
      </c>
      <c r="G21" s="31">
        <v>15</v>
      </c>
      <c r="H21" s="31">
        <v>15</v>
      </c>
      <c r="I21" s="31">
        <v>240</v>
      </c>
      <c r="J21" s="31">
        <v>12</v>
      </c>
      <c r="K21" s="31">
        <v>-4</v>
      </c>
      <c r="L21" s="15"/>
      <c r="M21" s="15"/>
      <c r="N21" s="15">
        <v>300</v>
      </c>
      <c r="O21" s="15"/>
      <c r="P21" s="15"/>
      <c r="Q21" s="31">
        <v>0</v>
      </c>
      <c r="R21" s="31">
        <v>0</v>
      </c>
      <c r="S21" s="15">
        <v>1200</v>
      </c>
      <c r="T21" s="15">
        <v>1200</v>
      </c>
      <c r="U21" s="15"/>
      <c r="V21" s="15"/>
      <c r="W21" s="30">
        <v>1</v>
      </c>
      <c r="X21" s="30">
        <v>1</v>
      </c>
      <c r="Y21" s="30">
        <v>0</v>
      </c>
      <c r="Z21" s="30">
        <v>0</v>
      </c>
      <c r="AB21" s="20">
        <v>17</v>
      </c>
      <c r="AC21" s="12"/>
      <c r="AD21" s="13"/>
      <c r="AE21" s="14"/>
      <c r="AF21" s="14"/>
      <c r="AG21" s="14"/>
      <c r="AH21" s="12"/>
      <c r="AI21" s="14"/>
      <c r="AJ21" s="14"/>
      <c r="AK21" s="14"/>
      <c r="AL21" s="14"/>
      <c r="AM21" s="12"/>
      <c r="AN21" s="12"/>
      <c r="AO21" s="12"/>
      <c r="AP21" s="12"/>
      <c r="AQ21" s="16"/>
      <c r="AR21" s="16"/>
      <c r="AS21" s="14"/>
      <c r="AT21" s="14"/>
      <c r="AU21" s="14"/>
      <c r="AV21" s="14"/>
      <c r="AW21" s="12"/>
      <c r="AX21" s="12"/>
      <c r="AY21" s="12"/>
      <c r="AZ21" s="12"/>
      <c r="BA21" s="12"/>
      <c r="BB21" s="12"/>
      <c r="BC21" s="12"/>
      <c r="BD21" s="12"/>
      <c r="BE21" s="56">
        <v>-261355.2992246339</v>
      </c>
      <c r="BF21" s="57">
        <v>0</v>
      </c>
      <c r="BG21" s="57">
        <v>11520</v>
      </c>
      <c r="BH21" s="57">
        <v>0</v>
      </c>
      <c r="BI21" s="57">
        <v>38.400000000000006</v>
      </c>
      <c r="BJ21" s="57">
        <v>22.687091946582804</v>
      </c>
      <c r="BK21" s="57">
        <v>0</v>
      </c>
      <c r="BL21" s="57">
        <v>0</v>
      </c>
      <c r="BM21" s="57">
        <v>0</v>
      </c>
      <c r="BN21" s="57">
        <v>0</v>
      </c>
      <c r="BO21" s="57">
        <v>0</v>
      </c>
      <c r="BP21" s="58">
        <v>22.687091946582804</v>
      </c>
      <c r="BQ21" s="61">
        <v>22.687091946582804</v>
      </c>
      <c r="BR21" s="58">
        <v>261355.2992246339</v>
      </c>
      <c r="BS21" s="61">
        <v>0</v>
      </c>
      <c r="BT21" s="58">
        <v>0</v>
      </c>
    </row>
    <row r="22" spans="1:72" ht="14.45" customHeight="1" x14ac:dyDescent="0.25">
      <c r="A22" s="11">
        <f t="shared" si="0"/>
        <v>18</v>
      </c>
      <c r="B22" s="11">
        <v>2</v>
      </c>
      <c r="C22" s="31">
        <v>0</v>
      </c>
      <c r="D22" s="37">
        <v>4</v>
      </c>
      <c r="E22" s="31">
        <v>5</v>
      </c>
      <c r="F22" s="31">
        <v>25</v>
      </c>
      <c r="G22" s="31">
        <v>15</v>
      </c>
      <c r="H22" s="31">
        <v>15</v>
      </c>
      <c r="I22" s="31">
        <v>240</v>
      </c>
      <c r="J22" s="31">
        <v>12</v>
      </c>
      <c r="K22" s="31">
        <v>-4</v>
      </c>
      <c r="L22" s="15"/>
      <c r="M22" s="15"/>
      <c r="N22" s="15">
        <v>300</v>
      </c>
      <c r="O22" s="15"/>
      <c r="P22" s="15"/>
      <c r="Q22" s="31">
        <v>0</v>
      </c>
      <c r="R22" s="31">
        <v>0</v>
      </c>
      <c r="S22" s="15">
        <v>1200</v>
      </c>
      <c r="T22" s="15">
        <v>1200</v>
      </c>
      <c r="U22" s="15"/>
      <c r="V22" s="15"/>
      <c r="W22" s="30">
        <v>1</v>
      </c>
      <c r="X22" s="30">
        <v>1</v>
      </c>
      <c r="Y22" s="30">
        <v>0</v>
      </c>
      <c r="Z22" s="30">
        <v>0</v>
      </c>
      <c r="AB22" s="20">
        <v>18</v>
      </c>
      <c r="AC22" s="12"/>
      <c r="AD22" s="13"/>
      <c r="AE22" s="14"/>
      <c r="AF22" s="14"/>
      <c r="AG22" s="14"/>
      <c r="AH22" s="12"/>
      <c r="AI22" s="14"/>
      <c r="AJ22" s="14"/>
      <c r="AK22" s="14"/>
      <c r="AL22" s="14"/>
      <c r="AM22" s="12"/>
      <c r="AN22" s="12"/>
      <c r="AO22" s="12"/>
      <c r="AP22" s="12"/>
      <c r="AQ22" s="16"/>
      <c r="AR22" s="16"/>
      <c r="AS22" s="14"/>
      <c r="AT22" s="14"/>
      <c r="AU22" s="14"/>
      <c r="AV22" s="14"/>
      <c r="AW22" s="12"/>
      <c r="AX22" s="12"/>
      <c r="AY22" s="12"/>
      <c r="AZ22" s="12"/>
      <c r="BA22" s="12"/>
      <c r="BB22" s="12"/>
      <c r="BC22" s="12"/>
      <c r="BD22" s="12"/>
      <c r="BE22" s="56">
        <v>-148563.61567216864</v>
      </c>
      <c r="BF22" s="57">
        <v>8399.550142038559</v>
      </c>
      <c r="BG22" s="57">
        <v>8399.550142038559</v>
      </c>
      <c r="BH22" s="57">
        <v>6.9996251183654659</v>
      </c>
      <c r="BI22" s="57">
        <v>6.9996251183654659</v>
      </c>
      <c r="BJ22" s="57">
        <v>22.687091946582804</v>
      </c>
      <c r="BK22" s="57">
        <v>0</v>
      </c>
      <c r="BL22" s="57">
        <v>0</v>
      </c>
      <c r="BM22" s="57">
        <v>0</v>
      </c>
      <c r="BN22" s="57">
        <v>0</v>
      </c>
      <c r="BO22" s="57">
        <v>0</v>
      </c>
      <c r="BP22" s="58">
        <v>22.687091946582804</v>
      </c>
      <c r="BQ22" s="61">
        <v>9.7909447528181648</v>
      </c>
      <c r="BR22" s="58">
        <v>112791.68355246526</v>
      </c>
      <c r="BS22" s="61">
        <v>0</v>
      </c>
      <c r="BT22" s="58">
        <v>0</v>
      </c>
    </row>
    <row r="23" spans="1:72" ht="14.45" customHeight="1" x14ac:dyDescent="0.25">
      <c r="A23" s="11">
        <f t="shared" si="0"/>
        <v>19</v>
      </c>
      <c r="B23" s="11">
        <v>3</v>
      </c>
      <c r="C23" s="31">
        <v>0</v>
      </c>
      <c r="D23" s="37">
        <v>4</v>
      </c>
      <c r="E23" s="31">
        <v>5</v>
      </c>
      <c r="F23" s="31">
        <v>25</v>
      </c>
      <c r="G23" s="31">
        <v>15</v>
      </c>
      <c r="H23" s="31">
        <v>15</v>
      </c>
      <c r="I23" s="31">
        <v>240</v>
      </c>
      <c r="J23" s="31">
        <v>12</v>
      </c>
      <c r="K23" s="31">
        <v>-4</v>
      </c>
      <c r="L23" s="15"/>
      <c r="M23" s="15"/>
      <c r="N23" s="15">
        <v>300</v>
      </c>
      <c r="O23" s="15"/>
      <c r="P23" s="15"/>
      <c r="Q23" s="31">
        <v>0</v>
      </c>
      <c r="R23" s="31">
        <v>0</v>
      </c>
      <c r="S23" s="15">
        <v>1200</v>
      </c>
      <c r="T23" s="15">
        <v>1200</v>
      </c>
      <c r="U23" s="15"/>
      <c r="V23" s="15"/>
      <c r="W23" s="30">
        <v>1</v>
      </c>
      <c r="X23" s="30">
        <v>1</v>
      </c>
      <c r="Y23" s="30">
        <v>0</v>
      </c>
      <c r="Z23" s="30">
        <v>0</v>
      </c>
      <c r="AB23" s="20">
        <v>19</v>
      </c>
      <c r="AC23" s="12"/>
      <c r="AD23" s="13"/>
      <c r="AE23" s="14"/>
      <c r="AF23" s="14"/>
      <c r="AG23" s="14"/>
      <c r="AH23" s="12"/>
      <c r="AI23" s="14"/>
      <c r="AJ23" s="14"/>
      <c r="AK23" s="14"/>
      <c r="AL23" s="14"/>
      <c r="AM23" s="12"/>
      <c r="AN23" s="12"/>
      <c r="AO23" s="12"/>
      <c r="AP23" s="12"/>
      <c r="AQ23" s="16"/>
      <c r="AR23" s="16"/>
      <c r="AS23" s="14"/>
      <c r="AT23" s="14"/>
      <c r="AU23" s="14"/>
      <c r="AV23" s="14"/>
      <c r="AW23" s="12"/>
      <c r="AX23" s="12"/>
      <c r="AY23" s="12"/>
      <c r="AZ23" s="12"/>
      <c r="BA23" s="12"/>
      <c r="BB23" s="12"/>
      <c r="BC23" s="12"/>
      <c r="BD23" s="12"/>
      <c r="BE23" s="56">
        <v>0</v>
      </c>
      <c r="BF23" s="57">
        <v>0</v>
      </c>
      <c r="BG23" s="57">
        <v>0</v>
      </c>
      <c r="BH23" s="57">
        <v>0</v>
      </c>
      <c r="BI23" s="57">
        <v>0</v>
      </c>
      <c r="BJ23" s="57">
        <v>9.7909447528181648</v>
      </c>
      <c r="BK23" s="57">
        <v>-288000</v>
      </c>
      <c r="BL23" s="57">
        <v>11520</v>
      </c>
      <c r="BM23" s="57">
        <v>0</v>
      </c>
      <c r="BN23" s="57">
        <v>38.400000000000006</v>
      </c>
      <c r="BO23" s="57">
        <v>0</v>
      </c>
      <c r="BP23" s="58">
        <v>9.7909447528181648</v>
      </c>
      <c r="BQ23" s="61">
        <v>17.395472376409085</v>
      </c>
      <c r="BR23" s="58">
        <v>400791.68355246529</v>
      </c>
      <c r="BS23" s="61">
        <v>4</v>
      </c>
      <c r="BT23" s="58">
        <v>0</v>
      </c>
    </row>
    <row r="24" spans="1:72" ht="14.45" customHeight="1" x14ac:dyDescent="0.25">
      <c r="A24" s="11">
        <f t="shared" si="0"/>
        <v>20</v>
      </c>
      <c r="B24" s="11">
        <v>4</v>
      </c>
      <c r="C24" s="31">
        <v>0</v>
      </c>
      <c r="D24" s="37">
        <v>4</v>
      </c>
      <c r="E24" s="31">
        <v>5</v>
      </c>
      <c r="F24" s="31">
        <v>25</v>
      </c>
      <c r="G24" s="31">
        <v>15</v>
      </c>
      <c r="H24" s="31">
        <v>15</v>
      </c>
      <c r="I24" s="31">
        <v>240</v>
      </c>
      <c r="J24" s="31">
        <v>12</v>
      </c>
      <c r="K24" s="31">
        <v>-4</v>
      </c>
      <c r="L24" s="15"/>
      <c r="M24" s="15"/>
      <c r="N24" s="15">
        <v>300</v>
      </c>
      <c r="O24" s="15"/>
      <c r="P24" s="15"/>
      <c r="Q24" s="31">
        <v>0</v>
      </c>
      <c r="R24" s="31">
        <v>0</v>
      </c>
      <c r="S24" s="15">
        <v>1200</v>
      </c>
      <c r="T24" s="15">
        <v>1200</v>
      </c>
      <c r="U24" s="15"/>
      <c r="V24" s="15"/>
      <c r="W24" s="30">
        <v>1</v>
      </c>
      <c r="X24" s="30">
        <v>1</v>
      </c>
      <c r="Y24" s="30">
        <v>0</v>
      </c>
      <c r="Z24" s="30">
        <v>0</v>
      </c>
      <c r="AB24" s="20">
        <v>20</v>
      </c>
      <c r="AC24" s="12"/>
      <c r="AD24" s="13"/>
      <c r="AE24" s="14"/>
      <c r="AF24" s="14"/>
      <c r="AG24" s="14"/>
      <c r="AH24" s="12"/>
      <c r="AI24" s="14"/>
      <c r="AJ24" s="14"/>
      <c r="AK24" s="14"/>
      <c r="AL24" s="14"/>
      <c r="AM24" s="12"/>
      <c r="AN24" s="12"/>
      <c r="AO24" s="12"/>
      <c r="AP24" s="12"/>
      <c r="AQ24" s="16"/>
      <c r="AR24" s="16"/>
      <c r="AS24" s="14"/>
      <c r="AT24" s="14"/>
      <c r="AU24" s="14"/>
      <c r="AV24" s="14"/>
      <c r="AW24" s="12"/>
      <c r="AX24" s="12"/>
      <c r="AY24" s="12"/>
      <c r="AZ24" s="12"/>
      <c r="BA24" s="12"/>
      <c r="BB24" s="12"/>
      <c r="BC24" s="12"/>
      <c r="BD24" s="12"/>
      <c r="BE24" s="56">
        <v>0</v>
      </c>
      <c r="BF24" s="57">
        <v>0</v>
      </c>
      <c r="BG24" s="57">
        <v>0</v>
      </c>
      <c r="BH24" s="57">
        <v>0</v>
      </c>
      <c r="BI24" s="57">
        <v>0</v>
      </c>
      <c r="BJ24" s="57">
        <v>17.395472376409085</v>
      </c>
      <c r="BK24" s="57">
        <v>-121918.91490399376</v>
      </c>
      <c r="BL24" s="57">
        <v>16032.411339499184</v>
      </c>
      <c r="BM24" s="57">
        <v>16032.411339499184</v>
      </c>
      <c r="BN24" s="57">
        <v>13.360342782915987</v>
      </c>
      <c r="BO24" s="57">
        <v>13.360342782915987</v>
      </c>
      <c r="BP24" s="58">
        <v>-32.604527623590918</v>
      </c>
      <c r="BQ24" s="61">
        <v>22.687091946894924</v>
      </c>
      <c r="BR24" s="58">
        <v>522710.59845645906</v>
      </c>
      <c r="BS24" s="61">
        <v>4</v>
      </c>
      <c r="BT24" s="58">
        <v>0</v>
      </c>
    </row>
    <row r="25" spans="1:72" ht="14.45" customHeight="1" x14ac:dyDescent="0.25">
      <c r="A25" s="11">
        <f t="shared" si="0"/>
        <v>21</v>
      </c>
      <c r="B25" s="11">
        <v>1</v>
      </c>
      <c r="C25" s="31">
        <v>0</v>
      </c>
      <c r="D25" s="37">
        <v>4</v>
      </c>
      <c r="E25" s="31">
        <v>5</v>
      </c>
      <c r="F25" s="31">
        <v>25</v>
      </c>
      <c r="G25" s="31">
        <v>15</v>
      </c>
      <c r="H25" s="31">
        <v>15</v>
      </c>
      <c r="I25" s="31">
        <v>240</v>
      </c>
      <c r="J25" s="31">
        <v>12</v>
      </c>
      <c r="K25" s="31">
        <v>-4</v>
      </c>
      <c r="L25" s="15"/>
      <c r="M25" s="15"/>
      <c r="N25" s="15">
        <v>300</v>
      </c>
      <c r="O25" s="15"/>
      <c r="P25" s="15"/>
      <c r="Q25" s="31">
        <v>0</v>
      </c>
      <c r="R25" s="31">
        <v>0</v>
      </c>
      <c r="S25" s="15">
        <v>1200</v>
      </c>
      <c r="T25" s="15">
        <v>1200</v>
      </c>
      <c r="U25" s="15"/>
      <c r="V25" s="15"/>
      <c r="W25" s="30">
        <v>1</v>
      </c>
      <c r="X25" s="30">
        <v>1</v>
      </c>
      <c r="Y25" s="30">
        <v>0</v>
      </c>
      <c r="Z25" s="30">
        <v>0</v>
      </c>
      <c r="AB25" s="20">
        <v>21</v>
      </c>
      <c r="AC25" s="12"/>
      <c r="AD25" s="13"/>
      <c r="AE25" s="14"/>
      <c r="AF25" s="14"/>
      <c r="AG25" s="14"/>
      <c r="AH25" s="12"/>
      <c r="AI25" s="14"/>
      <c r="AJ25" s="14"/>
      <c r="AK25" s="14"/>
      <c r="AL25" s="14"/>
      <c r="AM25" s="12"/>
      <c r="AN25" s="12"/>
      <c r="AO25" s="12"/>
      <c r="AP25" s="12"/>
      <c r="AQ25" s="16"/>
      <c r="AR25" s="16"/>
      <c r="AS25" s="14"/>
      <c r="AT25" s="14"/>
      <c r="AU25" s="14"/>
      <c r="AV25" s="14"/>
      <c r="AW25" s="12"/>
      <c r="AX25" s="12"/>
      <c r="AY25" s="12"/>
      <c r="AZ25" s="12"/>
      <c r="BA25" s="12"/>
      <c r="BB25" s="12"/>
      <c r="BC25" s="12"/>
      <c r="BD25" s="12"/>
      <c r="BE25" s="56">
        <v>-261355.29922822953</v>
      </c>
      <c r="BF25" s="57">
        <v>0</v>
      </c>
      <c r="BG25" s="57">
        <v>11520</v>
      </c>
      <c r="BH25" s="57">
        <v>0</v>
      </c>
      <c r="BI25" s="57">
        <v>38.400000000000006</v>
      </c>
      <c r="BJ25" s="57">
        <v>22.687091946894924</v>
      </c>
      <c r="BK25" s="57">
        <v>0</v>
      </c>
      <c r="BL25" s="57">
        <v>0</v>
      </c>
      <c r="BM25" s="57">
        <v>0</v>
      </c>
      <c r="BN25" s="57">
        <v>0</v>
      </c>
      <c r="BO25" s="57">
        <v>0</v>
      </c>
      <c r="BP25" s="58">
        <v>22.687091946894924</v>
      </c>
      <c r="BQ25" s="61">
        <v>22.687091946894924</v>
      </c>
      <c r="BR25" s="58">
        <v>261355.29922822953</v>
      </c>
      <c r="BS25" s="61">
        <v>0</v>
      </c>
      <c r="BT25" s="58">
        <v>0</v>
      </c>
    </row>
    <row r="26" spans="1:72" ht="14.45" customHeight="1" x14ac:dyDescent="0.25">
      <c r="A26" s="11">
        <f t="shared" si="0"/>
        <v>22</v>
      </c>
      <c r="B26" s="11">
        <v>2</v>
      </c>
      <c r="C26" s="31">
        <v>0</v>
      </c>
      <c r="D26" s="37">
        <v>4</v>
      </c>
      <c r="E26" s="31">
        <v>5</v>
      </c>
      <c r="F26" s="31">
        <v>25</v>
      </c>
      <c r="G26" s="31">
        <v>15</v>
      </c>
      <c r="H26" s="31">
        <v>15</v>
      </c>
      <c r="I26" s="31">
        <v>240</v>
      </c>
      <c r="J26" s="31">
        <v>12</v>
      </c>
      <c r="K26" s="31">
        <v>-4</v>
      </c>
      <c r="L26" s="15"/>
      <c r="M26" s="15"/>
      <c r="N26" s="15">
        <v>300</v>
      </c>
      <c r="O26" s="15"/>
      <c r="P26" s="15"/>
      <c r="Q26" s="31">
        <v>0</v>
      </c>
      <c r="R26" s="31">
        <v>0</v>
      </c>
      <c r="S26" s="15">
        <v>1200</v>
      </c>
      <c r="T26" s="15">
        <v>1200</v>
      </c>
      <c r="U26" s="15"/>
      <c r="V26" s="15"/>
      <c r="W26" s="30">
        <v>1</v>
      </c>
      <c r="X26" s="30">
        <v>1</v>
      </c>
      <c r="Y26" s="30">
        <v>0</v>
      </c>
      <c r="Z26" s="30">
        <v>0</v>
      </c>
      <c r="AB26" s="20">
        <v>22</v>
      </c>
      <c r="AC26" s="12"/>
      <c r="AD26" s="13"/>
      <c r="AE26" s="14"/>
      <c r="AF26" s="14"/>
      <c r="AG26" s="14"/>
      <c r="AH26" s="12"/>
      <c r="AI26" s="14"/>
      <c r="AJ26" s="14"/>
      <c r="AK26" s="14"/>
      <c r="AL26" s="14"/>
      <c r="AM26" s="12"/>
      <c r="AN26" s="12"/>
      <c r="AO26" s="12"/>
      <c r="AP26" s="12"/>
      <c r="AQ26" s="16"/>
      <c r="AR26" s="16"/>
      <c r="AS26" s="14"/>
      <c r="AT26" s="14"/>
      <c r="AU26" s="14"/>
      <c r="AV26" s="14"/>
      <c r="AW26" s="12"/>
      <c r="AX26" s="12"/>
      <c r="AY26" s="12"/>
      <c r="AZ26" s="12"/>
      <c r="BA26" s="12"/>
      <c r="BB26" s="12"/>
      <c r="BC26" s="12"/>
      <c r="BD26" s="12"/>
      <c r="BE26" s="56">
        <v>-148563.61567557408</v>
      </c>
      <c r="BF26" s="57">
        <v>8399.5501420828714</v>
      </c>
      <c r="BG26" s="57">
        <v>8399.5501420828714</v>
      </c>
      <c r="BH26" s="57">
        <v>6.9996251184023937</v>
      </c>
      <c r="BI26" s="57">
        <v>6.9996251184023937</v>
      </c>
      <c r="BJ26" s="57">
        <v>22.687091946894924</v>
      </c>
      <c r="BK26" s="57">
        <v>0</v>
      </c>
      <c r="BL26" s="57">
        <v>0</v>
      </c>
      <c r="BM26" s="57">
        <v>0</v>
      </c>
      <c r="BN26" s="57">
        <v>0</v>
      </c>
      <c r="BO26" s="57">
        <v>0</v>
      </c>
      <c r="BP26" s="58">
        <v>22.687091946894924</v>
      </c>
      <c r="BQ26" s="61">
        <v>9.7909447528346742</v>
      </c>
      <c r="BR26" s="58">
        <v>112791.68355265545</v>
      </c>
      <c r="BS26" s="61">
        <v>0</v>
      </c>
      <c r="BT26" s="58">
        <v>0</v>
      </c>
    </row>
    <row r="27" spans="1:72" ht="14.45" customHeight="1" x14ac:dyDescent="0.25">
      <c r="A27" s="11">
        <f t="shared" si="0"/>
        <v>23</v>
      </c>
      <c r="B27" s="11">
        <v>3</v>
      </c>
      <c r="C27" s="31">
        <v>0</v>
      </c>
      <c r="D27" s="37">
        <v>4</v>
      </c>
      <c r="E27" s="31">
        <v>5</v>
      </c>
      <c r="F27" s="31">
        <v>25</v>
      </c>
      <c r="G27" s="31">
        <v>15</v>
      </c>
      <c r="H27" s="31">
        <v>15</v>
      </c>
      <c r="I27" s="31">
        <v>240</v>
      </c>
      <c r="J27" s="31">
        <v>12</v>
      </c>
      <c r="K27" s="31">
        <v>-4</v>
      </c>
      <c r="L27" s="15"/>
      <c r="M27" s="15"/>
      <c r="N27" s="15">
        <v>300</v>
      </c>
      <c r="O27" s="15"/>
      <c r="P27" s="15"/>
      <c r="Q27" s="31">
        <v>0</v>
      </c>
      <c r="R27" s="31">
        <v>0</v>
      </c>
      <c r="S27" s="15">
        <v>1200</v>
      </c>
      <c r="T27" s="15">
        <v>1200</v>
      </c>
      <c r="U27" s="15"/>
      <c r="V27" s="15"/>
      <c r="W27" s="30">
        <v>1</v>
      </c>
      <c r="X27" s="30">
        <v>1</v>
      </c>
      <c r="Y27" s="30">
        <v>0</v>
      </c>
      <c r="Z27" s="30">
        <v>0</v>
      </c>
      <c r="AB27" s="20">
        <v>23</v>
      </c>
      <c r="AC27" s="12"/>
      <c r="AD27" s="13"/>
      <c r="AE27" s="14"/>
      <c r="AF27" s="14"/>
      <c r="AG27" s="14"/>
      <c r="AH27" s="12"/>
      <c r="AI27" s="14"/>
      <c r="AJ27" s="14"/>
      <c r="AK27" s="14"/>
      <c r="AL27" s="14"/>
      <c r="AM27" s="12"/>
      <c r="AN27" s="12"/>
      <c r="AO27" s="12"/>
      <c r="AP27" s="12"/>
      <c r="AQ27" s="16"/>
      <c r="AR27" s="16"/>
      <c r="AS27" s="14"/>
      <c r="AT27" s="14"/>
      <c r="AU27" s="14"/>
      <c r="AV27" s="14"/>
      <c r="AW27" s="12"/>
      <c r="AX27" s="12"/>
      <c r="AY27" s="12"/>
      <c r="AZ27" s="12"/>
      <c r="BA27" s="12"/>
      <c r="BB27" s="12"/>
      <c r="BC27" s="12"/>
      <c r="BD27" s="12"/>
      <c r="BE27" s="56">
        <v>0</v>
      </c>
      <c r="BF27" s="57">
        <v>0</v>
      </c>
      <c r="BG27" s="57">
        <v>0</v>
      </c>
      <c r="BH27" s="57">
        <v>0</v>
      </c>
      <c r="BI27" s="57">
        <v>0</v>
      </c>
      <c r="BJ27" s="57">
        <v>9.7909447528346742</v>
      </c>
      <c r="BK27" s="57">
        <v>-288000</v>
      </c>
      <c r="BL27" s="57">
        <v>11520</v>
      </c>
      <c r="BM27" s="57">
        <v>0</v>
      </c>
      <c r="BN27" s="57">
        <v>38.400000000000006</v>
      </c>
      <c r="BO27" s="57">
        <v>0</v>
      </c>
      <c r="BP27" s="58">
        <v>9.7909447528346742</v>
      </c>
      <c r="BQ27" s="61">
        <v>17.395472376417338</v>
      </c>
      <c r="BR27" s="58">
        <v>400791.68355265545</v>
      </c>
      <c r="BS27" s="61">
        <v>4</v>
      </c>
      <c r="BT27" s="58">
        <v>0</v>
      </c>
    </row>
    <row r="28" spans="1:72" ht="14.45" customHeight="1" x14ac:dyDescent="0.25">
      <c r="A28" s="11">
        <f t="shared" si="0"/>
        <v>24</v>
      </c>
      <c r="B28" s="11">
        <v>4</v>
      </c>
      <c r="C28" s="31">
        <v>0</v>
      </c>
      <c r="D28" s="37">
        <v>4</v>
      </c>
      <c r="E28" s="31">
        <v>5</v>
      </c>
      <c r="F28" s="31">
        <v>25</v>
      </c>
      <c r="G28" s="31">
        <v>15</v>
      </c>
      <c r="H28" s="31">
        <v>15</v>
      </c>
      <c r="I28" s="31">
        <v>240</v>
      </c>
      <c r="J28" s="31">
        <v>12</v>
      </c>
      <c r="K28" s="31">
        <v>-4</v>
      </c>
      <c r="L28" s="15"/>
      <c r="M28" s="15"/>
      <c r="N28" s="15">
        <v>300</v>
      </c>
      <c r="O28" s="15"/>
      <c r="P28" s="15"/>
      <c r="Q28" s="31">
        <v>0</v>
      </c>
      <c r="R28" s="31">
        <v>0</v>
      </c>
      <c r="S28" s="15">
        <v>1200</v>
      </c>
      <c r="T28" s="15">
        <v>1200</v>
      </c>
      <c r="U28" s="15"/>
      <c r="V28" s="15"/>
      <c r="W28" s="30">
        <v>1</v>
      </c>
      <c r="X28" s="30">
        <v>1</v>
      </c>
      <c r="Y28" s="30">
        <v>0</v>
      </c>
      <c r="Z28" s="30">
        <v>0</v>
      </c>
      <c r="AB28" s="20">
        <v>24</v>
      </c>
      <c r="AC28" s="12"/>
      <c r="AD28" s="13"/>
      <c r="AE28" s="14"/>
      <c r="AF28" s="14"/>
      <c r="AG28" s="14"/>
      <c r="AH28" s="12"/>
      <c r="AI28" s="14"/>
      <c r="AJ28" s="14"/>
      <c r="AK28" s="14"/>
      <c r="AL28" s="14"/>
      <c r="AM28" s="12"/>
      <c r="AN28" s="12"/>
      <c r="AO28" s="12"/>
      <c r="AP28" s="12"/>
      <c r="AQ28" s="16"/>
      <c r="AR28" s="16"/>
      <c r="AS28" s="14"/>
      <c r="AT28" s="14"/>
      <c r="AU28" s="14"/>
      <c r="AV28" s="14"/>
      <c r="AW28" s="12"/>
      <c r="AX28" s="12"/>
      <c r="AY28" s="12"/>
      <c r="AZ28" s="12"/>
      <c r="BA28" s="12"/>
      <c r="BB28" s="12"/>
      <c r="BC28" s="12"/>
      <c r="BD28" s="12"/>
      <c r="BE28" s="56">
        <v>0</v>
      </c>
      <c r="BF28" s="57">
        <v>0</v>
      </c>
      <c r="BG28" s="57">
        <v>0</v>
      </c>
      <c r="BH28" s="57">
        <v>0</v>
      </c>
      <c r="BI28" s="57">
        <v>0</v>
      </c>
      <c r="BJ28" s="57">
        <v>17.395472376417338</v>
      </c>
      <c r="BK28" s="57">
        <v>-121918.91490381914</v>
      </c>
      <c r="BL28" s="57">
        <v>16032.411339493619</v>
      </c>
      <c r="BM28" s="57">
        <v>16032.411339493619</v>
      </c>
      <c r="BN28" s="57">
        <v>13.360342782911351</v>
      </c>
      <c r="BO28" s="57">
        <v>13.360342782911351</v>
      </c>
      <c r="BP28" s="58">
        <v>-32.604527623582662</v>
      </c>
      <c r="BQ28" s="61">
        <v>22.687091946895599</v>
      </c>
      <c r="BR28" s="58">
        <v>522710.5984564746</v>
      </c>
      <c r="BS28" s="61">
        <v>4</v>
      </c>
      <c r="BT28" s="58">
        <v>0</v>
      </c>
    </row>
    <row r="29" spans="1:72" ht="14.45" customHeight="1" x14ac:dyDescent="0.25">
      <c r="A29" s="11">
        <f t="shared" si="0"/>
        <v>25</v>
      </c>
      <c r="B29" s="11">
        <v>1</v>
      </c>
      <c r="C29" s="31">
        <v>0</v>
      </c>
      <c r="D29" s="37">
        <v>4</v>
      </c>
      <c r="E29" s="31">
        <v>5</v>
      </c>
      <c r="F29" s="31">
        <v>25</v>
      </c>
      <c r="G29" s="31">
        <v>15</v>
      </c>
      <c r="H29" s="31">
        <v>15</v>
      </c>
      <c r="I29" s="31">
        <v>240</v>
      </c>
      <c r="J29" s="31">
        <v>12</v>
      </c>
      <c r="K29" s="31">
        <v>-4</v>
      </c>
      <c r="L29" s="15"/>
      <c r="M29" s="15"/>
      <c r="N29" s="15">
        <v>300</v>
      </c>
      <c r="O29" s="15"/>
      <c r="P29" s="15"/>
      <c r="Q29" s="31">
        <v>0</v>
      </c>
      <c r="R29" s="31">
        <v>0</v>
      </c>
      <c r="S29" s="15">
        <v>1200</v>
      </c>
      <c r="T29" s="15">
        <v>1200</v>
      </c>
      <c r="U29" s="15"/>
      <c r="V29" s="15"/>
      <c r="W29" s="30">
        <v>1</v>
      </c>
      <c r="X29" s="30">
        <v>1</v>
      </c>
      <c r="Y29" s="30">
        <v>0</v>
      </c>
      <c r="Z29" s="30">
        <v>0</v>
      </c>
      <c r="AB29" s="20">
        <v>25</v>
      </c>
      <c r="AC29" s="12"/>
      <c r="AD29" s="13"/>
      <c r="AE29" s="14"/>
      <c r="AF29" s="14"/>
      <c r="AG29" s="14"/>
      <c r="AH29" s="12"/>
      <c r="AI29" s="14"/>
      <c r="AJ29" s="14"/>
      <c r="AK29" s="14"/>
      <c r="AL29" s="14"/>
      <c r="AM29" s="12"/>
      <c r="AN29" s="12"/>
      <c r="AO29" s="12"/>
      <c r="AP29" s="12"/>
      <c r="AQ29" s="16"/>
      <c r="AR29" s="16"/>
      <c r="AS29" s="14"/>
      <c r="AT29" s="14"/>
      <c r="AU29" s="14"/>
      <c r="AV29" s="14"/>
      <c r="AW29" s="12"/>
      <c r="AX29" s="12"/>
      <c r="AY29" s="12"/>
      <c r="AZ29" s="12"/>
      <c r="BA29" s="12"/>
      <c r="BB29" s="12"/>
      <c r="BC29" s="12"/>
      <c r="BD29" s="12"/>
      <c r="BE29" s="56">
        <v>-261355.2992282373</v>
      </c>
      <c r="BF29" s="57">
        <v>0</v>
      </c>
      <c r="BG29" s="57">
        <v>11520</v>
      </c>
      <c r="BH29" s="57">
        <v>0</v>
      </c>
      <c r="BI29" s="57">
        <v>38.400000000000006</v>
      </c>
      <c r="BJ29" s="57">
        <v>22.687091946895599</v>
      </c>
      <c r="BK29" s="57">
        <v>0</v>
      </c>
      <c r="BL29" s="57">
        <v>0</v>
      </c>
      <c r="BM29" s="57">
        <v>0</v>
      </c>
      <c r="BN29" s="57">
        <v>0</v>
      </c>
      <c r="BO29" s="57">
        <v>0</v>
      </c>
      <c r="BP29" s="58">
        <v>22.687091946895599</v>
      </c>
      <c r="BQ29" s="61">
        <v>22.687091946895599</v>
      </c>
      <c r="BR29" s="58">
        <v>261355.2992282373</v>
      </c>
      <c r="BS29" s="61">
        <v>0</v>
      </c>
      <c r="BT29" s="58">
        <v>0</v>
      </c>
    </row>
    <row r="30" spans="1:72" ht="14.45" customHeight="1" x14ac:dyDescent="0.25">
      <c r="A30" s="11">
        <f t="shared" si="0"/>
        <v>26</v>
      </c>
      <c r="B30" s="11">
        <v>1</v>
      </c>
      <c r="C30" s="31">
        <v>0</v>
      </c>
      <c r="D30" s="37">
        <v>4</v>
      </c>
      <c r="E30" s="31">
        <v>5</v>
      </c>
      <c r="F30" s="31">
        <v>25</v>
      </c>
      <c r="G30" s="31">
        <v>15</v>
      </c>
      <c r="H30" s="31">
        <v>15</v>
      </c>
      <c r="I30" s="31">
        <v>240</v>
      </c>
      <c r="J30" s="31">
        <v>12</v>
      </c>
      <c r="K30" s="31">
        <v>-4</v>
      </c>
      <c r="L30" s="15"/>
      <c r="M30" s="15"/>
      <c r="N30" s="15">
        <v>300</v>
      </c>
      <c r="O30" s="15"/>
      <c r="P30" s="15"/>
      <c r="Q30" s="31">
        <v>0</v>
      </c>
      <c r="R30" s="31">
        <v>0</v>
      </c>
      <c r="S30" s="15">
        <v>1200</v>
      </c>
      <c r="T30" s="15">
        <v>1200</v>
      </c>
      <c r="U30" s="15"/>
      <c r="V30" s="15"/>
      <c r="W30" s="30">
        <v>1</v>
      </c>
      <c r="X30" s="30">
        <v>1</v>
      </c>
      <c r="Y30" s="30">
        <v>0</v>
      </c>
      <c r="Z30" s="30">
        <v>0</v>
      </c>
      <c r="AB30" s="20">
        <v>26</v>
      </c>
      <c r="AC30" s="12"/>
      <c r="AD30" s="13"/>
      <c r="AE30" s="14"/>
      <c r="AF30" s="14"/>
      <c r="AG30" s="14"/>
      <c r="AH30" s="12"/>
      <c r="AI30" s="14"/>
      <c r="AJ30" s="14"/>
      <c r="AK30" s="14"/>
      <c r="AL30" s="14"/>
      <c r="AM30" s="12"/>
      <c r="AN30" s="12"/>
      <c r="AO30" s="12"/>
      <c r="AP30" s="12"/>
      <c r="AQ30" s="16"/>
      <c r="AR30" s="16"/>
      <c r="AS30" s="14"/>
      <c r="AT30" s="14"/>
      <c r="AU30" s="14"/>
      <c r="AV30" s="14"/>
      <c r="AW30" s="12"/>
      <c r="AX30" s="12"/>
      <c r="AY30" s="12"/>
      <c r="AZ30" s="12"/>
      <c r="BA30" s="12"/>
      <c r="BB30" s="12"/>
      <c r="BC30" s="12"/>
      <c r="BD30" s="12"/>
      <c r="BE30" s="56">
        <v>0</v>
      </c>
      <c r="BF30" s="57">
        <v>0</v>
      </c>
      <c r="BG30" s="57">
        <v>0</v>
      </c>
      <c r="BH30" s="57">
        <v>0</v>
      </c>
      <c r="BI30" s="57">
        <v>0</v>
      </c>
      <c r="BJ30" s="57">
        <v>22.687091946895599</v>
      </c>
      <c r="BK30" s="57">
        <v>0</v>
      </c>
      <c r="BL30" s="57">
        <v>0</v>
      </c>
      <c r="BM30" s="57">
        <v>0</v>
      </c>
      <c r="BN30" s="57">
        <v>0</v>
      </c>
      <c r="BO30" s="57">
        <v>0</v>
      </c>
      <c r="BP30" s="58">
        <v>22.687091946895599</v>
      </c>
      <c r="BQ30" s="61">
        <v>22.687091946895599</v>
      </c>
      <c r="BR30" s="58">
        <v>261355.2992282373</v>
      </c>
      <c r="BS30" s="61">
        <v>0</v>
      </c>
      <c r="BT30" s="58">
        <v>0</v>
      </c>
    </row>
    <row r="31" spans="1:72" ht="14.45" customHeight="1" x14ac:dyDescent="0.25">
      <c r="A31" s="11">
        <f t="shared" si="0"/>
        <v>27</v>
      </c>
      <c r="B31" s="11">
        <v>2</v>
      </c>
      <c r="C31" s="31">
        <v>0</v>
      </c>
      <c r="D31" s="37">
        <v>4</v>
      </c>
      <c r="E31" s="31">
        <v>5</v>
      </c>
      <c r="F31" s="31">
        <v>25</v>
      </c>
      <c r="G31" s="31">
        <v>15</v>
      </c>
      <c r="H31" s="31">
        <v>15</v>
      </c>
      <c r="I31" s="31">
        <v>240</v>
      </c>
      <c r="J31" s="31">
        <v>12</v>
      </c>
      <c r="K31" s="31">
        <v>-4</v>
      </c>
      <c r="L31" s="15"/>
      <c r="M31" s="15"/>
      <c r="N31" s="15">
        <v>300</v>
      </c>
      <c r="O31" s="15"/>
      <c r="P31" s="15"/>
      <c r="Q31" s="31">
        <v>0</v>
      </c>
      <c r="R31" s="31">
        <v>0</v>
      </c>
      <c r="S31" s="15">
        <v>1200</v>
      </c>
      <c r="T31" s="15">
        <v>1200</v>
      </c>
      <c r="U31" s="15"/>
      <c r="V31" s="15"/>
      <c r="W31" s="30">
        <v>1</v>
      </c>
      <c r="X31" s="30">
        <v>1</v>
      </c>
      <c r="Y31" s="30">
        <v>0</v>
      </c>
      <c r="Z31" s="30">
        <v>0</v>
      </c>
      <c r="AB31" s="20">
        <v>27</v>
      </c>
      <c r="AC31" s="12"/>
      <c r="AD31" s="13"/>
      <c r="AE31" s="14"/>
      <c r="AF31" s="14"/>
      <c r="AG31" s="14"/>
      <c r="AH31" s="12"/>
      <c r="AI31" s="14"/>
      <c r="AJ31" s="14"/>
      <c r="AK31" s="14"/>
      <c r="AL31" s="14"/>
      <c r="AM31" s="12"/>
      <c r="AN31" s="12"/>
      <c r="AO31" s="12"/>
      <c r="AP31" s="12"/>
      <c r="AQ31" s="16"/>
      <c r="AR31" s="16"/>
      <c r="AS31" s="14"/>
      <c r="AT31" s="14"/>
      <c r="AU31" s="14"/>
      <c r="AV31" s="14"/>
      <c r="AW31" s="12"/>
      <c r="AX31" s="12"/>
      <c r="AY31" s="12"/>
      <c r="AZ31" s="12"/>
      <c r="BA31" s="12"/>
      <c r="BB31" s="12"/>
      <c r="BC31" s="12"/>
      <c r="BD31" s="12"/>
      <c r="BE31" s="56">
        <v>-148563.61567558139</v>
      </c>
      <c r="BF31" s="57">
        <v>8399.5501420829642</v>
      </c>
      <c r="BG31" s="57">
        <v>8399.5501420829642</v>
      </c>
      <c r="BH31" s="57">
        <v>6.9996251184024709</v>
      </c>
      <c r="BI31" s="57">
        <v>6.9996251184024709</v>
      </c>
      <c r="BJ31" s="57">
        <v>22.687091946895602</v>
      </c>
      <c r="BK31" s="57">
        <v>0</v>
      </c>
      <c r="BL31" s="57">
        <v>0</v>
      </c>
      <c r="BM31" s="57">
        <v>0</v>
      </c>
      <c r="BN31" s="57">
        <v>0</v>
      </c>
      <c r="BO31" s="57">
        <v>0</v>
      </c>
      <c r="BP31" s="58">
        <v>22.687091946895599</v>
      </c>
      <c r="BQ31" s="61">
        <v>9.7909447528347151</v>
      </c>
      <c r="BR31" s="58">
        <v>112791.68355265592</v>
      </c>
      <c r="BS31" s="61">
        <v>0</v>
      </c>
      <c r="BT31" s="58">
        <v>0</v>
      </c>
    </row>
    <row r="32" spans="1:72" ht="14.45" customHeight="1" x14ac:dyDescent="0.25">
      <c r="A32" s="11">
        <f t="shared" si="0"/>
        <v>28</v>
      </c>
      <c r="B32" s="11">
        <v>2</v>
      </c>
      <c r="C32" s="31">
        <v>0</v>
      </c>
      <c r="D32" s="37">
        <v>4</v>
      </c>
      <c r="E32" s="31">
        <v>5</v>
      </c>
      <c r="F32" s="31">
        <v>25</v>
      </c>
      <c r="G32" s="31">
        <v>15</v>
      </c>
      <c r="H32" s="31">
        <v>15</v>
      </c>
      <c r="I32" s="31">
        <v>240</v>
      </c>
      <c r="J32" s="31">
        <v>12</v>
      </c>
      <c r="K32" s="31">
        <v>-4</v>
      </c>
      <c r="L32" s="15"/>
      <c r="M32" s="15"/>
      <c r="N32" s="15">
        <v>300</v>
      </c>
      <c r="O32" s="15"/>
      <c r="P32" s="15"/>
      <c r="Q32" s="31">
        <v>0</v>
      </c>
      <c r="R32" s="31">
        <v>0</v>
      </c>
      <c r="S32" s="15">
        <v>1200</v>
      </c>
      <c r="T32" s="15">
        <v>1200</v>
      </c>
      <c r="U32" s="15"/>
      <c r="V32" s="15"/>
      <c r="W32" s="30">
        <v>1</v>
      </c>
      <c r="X32" s="30">
        <v>1</v>
      </c>
      <c r="Y32" s="30">
        <v>0</v>
      </c>
      <c r="Z32" s="30">
        <v>0</v>
      </c>
      <c r="AB32" s="20">
        <v>28</v>
      </c>
      <c r="AC32" s="12"/>
      <c r="AD32" s="13"/>
      <c r="AE32" s="14"/>
      <c r="AF32" s="14"/>
      <c r="AG32" s="14"/>
      <c r="AH32" s="12"/>
      <c r="AI32" s="14"/>
      <c r="AJ32" s="14"/>
      <c r="AK32" s="14"/>
      <c r="AL32" s="14"/>
      <c r="AM32" s="12"/>
      <c r="AN32" s="12"/>
      <c r="AO32" s="12"/>
      <c r="AP32" s="12"/>
      <c r="AQ32" s="16"/>
      <c r="AR32" s="16"/>
      <c r="AS32" s="14"/>
      <c r="AT32" s="14"/>
      <c r="AU32" s="14"/>
      <c r="AV32" s="14"/>
      <c r="AW32" s="12"/>
      <c r="AX32" s="12"/>
      <c r="AY32" s="12"/>
      <c r="AZ32" s="12"/>
      <c r="BA32" s="12"/>
      <c r="BB32" s="12"/>
      <c r="BC32" s="12"/>
      <c r="BD32" s="12"/>
      <c r="BE32" s="56">
        <v>-24708.760873147086</v>
      </c>
      <c r="BF32" s="57">
        <v>5157.3879783371249</v>
      </c>
      <c r="BG32" s="57">
        <v>5157.3879783371249</v>
      </c>
      <c r="BH32" s="57">
        <v>4.2978233152809375</v>
      </c>
      <c r="BI32" s="57">
        <v>4.2978233152809375</v>
      </c>
      <c r="BJ32" s="57">
        <v>9.7909447528347151</v>
      </c>
      <c r="BK32" s="57">
        <v>0</v>
      </c>
      <c r="BL32" s="57">
        <v>0</v>
      </c>
      <c r="BM32" s="57">
        <v>0</v>
      </c>
      <c r="BN32" s="57">
        <v>0</v>
      </c>
      <c r="BO32" s="57">
        <v>0</v>
      </c>
      <c r="BP32" s="58">
        <v>9.7909447528347151</v>
      </c>
      <c r="BQ32" s="61">
        <v>7.6460870381518085</v>
      </c>
      <c r="BR32" s="58">
        <v>88082.922679508833</v>
      </c>
      <c r="BS32" s="61">
        <v>0</v>
      </c>
      <c r="BT32" s="58">
        <v>0</v>
      </c>
    </row>
    <row r="33" spans="1:72" ht="14.45" customHeight="1" x14ac:dyDescent="0.25">
      <c r="A33" s="11">
        <f t="shared" si="0"/>
        <v>29</v>
      </c>
      <c r="B33" s="11">
        <v>3</v>
      </c>
      <c r="C33" s="31">
        <v>0</v>
      </c>
      <c r="D33" s="37">
        <v>4</v>
      </c>
      <c r="E33" s="31">
        <v>5</v>
      </c>
      <c r="F33" s="31">
        <v>25</v>
      </c>
      <c r="G33" s="31">
        <v>15</v>
      </c>
      <c r="H33" s="31">
        <v>15</v>
      </c>
      <c r="I33" s="31">
        <v>240</v>
      </c>
      <c r="J33" s="31">
        <v>12</v>
      </c>
      <c r="K33" s="31">
        <v>-4</v>
      </c>
      <c r="L33" s="15"/>
      <c r="M33" s="15"/>
      <c r="N33" s="15">
        <v>300</v>
      </c>
      <c r="O33" s="15"/>
      <c r="P33" s="15"/>
      <c r="Q33" s="31">
        <v>0</v>
      </c>
      <c r="R33" s="31">
        <v>0</v>
      </c>
      <c r="S33" s="15">
        <v>1200</v>
      </c>
      <c r="T33" s="15">
        <v>1200</v>
      </c>
      <c r="U33" s="15"/>
      <c r="V33" s="15"/>
      <c r="W33" s="30">
        <v>1</v>
      </c>
      <c r="X33" s="30">
        <v>1</v>
      </c>
      <c r="Y33" s="30">
        <v>0</v>
      </c>
      <c r="Z33" s="30">
        <v>0</v>
      </c>
      <c r="AB33" s="20">
        <v>29</v>
      </c>
      <c r="AC33" s="12"/>
      <c r="AD33" s="13"/>
      <c r="AE33" s="14"/>
      <c r="AF33" s="14"/>
      <c r="AG33" s="14"/>
      <c r="AH33" s="12"/>
      <c r="AI33" s="14"/>
      <c r="AJ33" s="14"/>
      <c r="AK33" s="14"/>
      <c r="AL33" s="14"/>
      <c r="AM33" s="12"/>
      <c r="AN33" s="12"/>
      <c r="AO33" s="12"/>
      <c r="AP33" s="12"/>
      <c r="AQ33" s="16"/>
      <c r="AR33" s="16"/>
      <c r="AS33" s="14"/>
      <c r="AT33" s="14"/>
      <c r="AU33" s="14"/>
      <c r="AV33" s="14"/>
      <c r="AW33" s="12"/>
      <c r="AX33" s="12"/>
      <c r="AY33" s="12"/>
      <c r="AZ33" s="12"/>
      <c r="BA33" s="12"/>
      <c r="BB33" s="12"/>
      <c r="BC33" s="12"/>
      <c r="BD33" s="12"/>
      <c r="BE33" s="56">
        <v>0</v>
      </c>
      <c r="BF33" s="57">
        <v>0</v>
      </c>
      <c r="BG33" s="57">
        <v>0</v>
      </c>
      <c r="BH33" s="57">
        <v>0</v>
      </c>
      <c r="BI33" s="57">
        <v>0</v>
      </c>
      <c r="BJ33" s="57">
        <v>7.6460870381518085</v>
      </c>
      <c r="BK33" s="57">
        <v>-288000</v>
      </c>
      <c r="BL33" s="57">
        <v>11520</v>
      </c>
      <c r="BM33" s="57">
        <v>0</v>
      </c>
      <c r="BN33" s="57">
        <v>38.400000000000006</v>
      </c>
      <c r="BO33" s="57">
        <v>0</v>
      </c>
      <c r="BP33" s="58">
        <v>7.6460870381518085</v>
      </c>
      <c r="BQ33" s="61">
        <v>16.323043519075902</v>
      </c>
      <c r="BR33" s="58">
        <v>376082.9226795088</v>
      </c>
      <c r="BS33" s="61">
        <v>4</v>
      </c>
      <c r="BT33" s="58">
        <v>0</v>
      </c>
    </row>
    <row r="34" spans="1:72" ht="14.45" customHeight="1" x14ac:dyDescent="0.25">
      <c r="A34" s="11">
        <f t="shared" si="0"/>
        <v>30</v>
      </c>
      <c r="B34" s="11">
        <v>3</v>
      </c>
      <c r="C34" s="31">
        <v>0</v>
      </c>
      <c r="D34" s="37">
        <v>4</v>
      </c>
      <c r="E34" s="31">
        <v>5</v>
      </c>
      <c r="F34" s="31">
        <v>25</v>
      </c>
      <c r="G34" s="31">
        <v>15</v>
      </c>
      <c r="H34" s="31">
        <v>15</v>
      </c>
      <c r="I34" s="31">
        <v>240</v>
      </c>
      <c r="J34" s="31">
        <v>12</v>
      </c>
      <c r="K34" s="31">
        <v>-4</v>
      </c>
      <c r="L34" s="15"/>
      <c r="M34" s="15"/>
      <c r="N34" s="15">
        <v>300</v>
      </c>
      <c r="O34" s="15"/>
      <c r="P34" s="15"/>
      <c r="Q34" s="31">
        <v>0</v>
      </c>
      <c r="R34" s="31">
        <v>0</v>
      </c>
      <c r="S34" s="15">
        <v>1200</v>
      </c>
      <c r="T34" s="15">
        <v>1200</v>
      </c>
      <c r="U34" s="15"/>
      <c r="V34" s="15"/>
      <c r="W34" s="30">
        <v>1</v>
      </c>
      <c r="X34" s="30">
        <v>1</v>
      </c>
      <c r="Y34" s="30">
        <v>0</v>
      </c>
      <c r="Z34" s="30">
        <v>0</v>
      </c>
      <c r="AB34" s="20">
        <v>30</v>
      </c>
      <c r="AC34" s="12"/>
      <c r="AD34" s="13"/>
      <c r="AE34" s="14"/>
      <c r="AF34" s="14"/>
      <c r="AG34" s="14"/>
      <c r="AH34" s="12"/>
      <c r="AI34" s="14"/>
      <c r="AJ34" s="14"/>
      <c r="AK34" s="14"/>
      <c r="AL34" s="14"/>
      <c r="AM34" s="12"/>
      <c r="AN34" s="12"/>
      <c r="AO34" s="12"/>
      <c r="AP34" s="12"/>
      <c r="AQ34" s="16"/>
      <c r="AR34" s="16"/>
      <c r="AS34" s="14"/>
      <c r="AT34" s="14"/>
      <c r="AU34" s="14"/>
      <c r="AV34" s="14"/>
      <c r="AW34" s="12"/>
      <c r="AX34" s="12"/>
      <c r="AY34" s="12"/>
      <c r="AZ34" s="12"/>
      <c r="BA34" s="12"/>
      <c r="BB34" s="12"/>
      <c r="BC34" s="12"/>
      <c r="BD34" s="12"/>
      <c r="BE34" s="56">
        <v>0</v>
      </c>
      <c r="BF34" s="57">
        <v>0</v>
      </c>
      <c r="BG34" s="57">
        <v>0</v>
      </c>
      <c r="BH34" s="57">
        <v>0</v>
      </c>
      <c r="BI34" s="57">
        <v>0</v>
      </c>
      <c r="BJ34" s="57">
        <v>16.323043519075902</v>
      </c>
      <c r="BK34" s="57">
        <v>0</v>
      </c>
      <c r="BL34" s="57">
        <v>0</v>
      </c>
      <c r="BM34" s="57">
        <v>0</v>
      </c>
      <c r="BN34" s="57">
        <v>0</v>
      </c>
      <c r="BO34" s="57">
        <v>0</v>
      </c>
      <c r="BP34" s="58">
        <v>16.323043519075902</v>
      </c>
      <c r="BQ34" s="61">
        <v>16.323043519075902</v>
      </c>
      <c r="BR34" s="58">
        <v>376082.9226795088</v>
      </c>
      <c r="BS34" s="61">
        <v>4</v>
      </c>
      <c r="BT34" s="58">
        <v>0</v>
      </c>
    </row>
    <row r="35" spans="1:72" ht="14.45" customHeight="1" x14ac:dyDescent="0.25">
      <c r="A35" s="11">
        <f t="shared" si="0"/>
        <v>31</v>
      </c>
      <c r="B35" s="11">
        <v>4</v>
      </c>
      <c r="C35" s="31">
        <v>0</v>
      </c>
      <c r="D35" s="37">
        <v>4</v>
      </c>
      <c r="E35" s="31">
        <v>5</v>
      </c>
      <c r="F35" s="31">
        <v>25</v>
      </c>
      <c r="G35" s="31">
        <v>15</v>
      </c>
      <c r="H35" s="31">
        <v>15</v>
      </c>
      <c r="I35" s="31">
        <v>240</v>
      </c>
      <c r="J35" s="31">
        <v>12</v>
      </c>
      <c r="K35" s="31">
        <v>-4</v>
      </c>
      <c r="L35" s="15"/>
      <c r="M35" s="15"/>
      <c r="N35" s="15">
        <v>300</v>
      </c>
      <c r="O35" s="15"/>
      <c r="P35" s="15"/>
      <c r="Q35" s="31">
        <v>0</v>
      </c>
      <c r="R35" s="31">
        <v>0</v>
      </c>
      <c r="S35" s="15">
        <v>1200</v>
      </c>
      <c r="T35" s="15">
        <v>1200</v>
      </c>
      <c r="U35" s="15"/>
      <c r="V35" s="15"/>
      <c r="W35" s="30">
        <v>1</v>
      </c>
      <c r="X35" s="30">
        <v>1</v>
      </c>
      <c r="Y35" s="30">
        <v>0</v>
      </c>
      <c r="Z35" s="30">
        <v>0</v>
      </c>
      <c r="AB35" s="20">
        <v>31</v>
      </c>
      <c r="AC35" s="12"/>
      <c r="AD35" s="13"/>
      <c r="AE35" s="14"/>
      <c r="AF35" s="14"/>
      <c r="AG35" s="14"/>
      <c r="AH35" s="12"/>
      <c r="AI35" s="14"/>
      <c r="AJ35" s="14"/>
      <c r="AK35" s="14"/>
      <c r="AL35" s="14"/>
      <c r="AM35" s="12"/>
      <c r="AN35" s="12"/>
      <c r="AO35" s="12"/>
      <c r="AP35" s="12"/>
      <c r="AQ35" s="16"/>
      <c r="AR35" s="16"/>
      <c r="AS35" s="14"/>
      <c r="AT35" s="14"/>
      <c r="AU35" s="14"/>
      <c r="AV35" s="14"/>
      <c r="AW35" s="12"/>
      <c r="AX35" s="12"/>
      <c r="AY35" s="12"/>
      <c r="AZ35" s="12"/>
      <c r="BA35" s="12"/>
      <c r="BB35" s="12"/>
      <c r="BC35" s="12"/>
      <c r="BD35" s="12"/>
      <c r="BE35" s="56">
        <v>0</v>
      </c>
      <c r="BF35" s="57">
        <v>0</v>
      </c>
      <c r="BG35" s="57">
        <v>0</v>
      </c>
      <c r="BH35" s="57">
        <v>0</v>
      </c>
      <c r="BI35" s="57">
        <v>0</v>
      </c>
      <c r="BJ35" s="57">
        <v>16.323043519075902</v>
      </c>
      <c r="BK35" s="57">
        <v>-144934.99258884403</v>
      </c>
      <c r="BL35" s="57">
        <v>16703.436614840371</v>
      </c>
      <c r="BM35" s="57">
        <v>16703.436614840371</v>
      </c>
      <c r="BN35" s="57">
        <v>13.919530512366977</v>
      </c>
      <c r="BO35" s="57">
        <v>13.919530512366977</v>
      </c>
      <c r="BP35" s="58">
        <v>-33.676956480924098</v>
      </c>
      <c r="BQ35" s="61">
        <v>22.61362479463337</v>
      </c>
      <c r="BR35" s="58">
        <v>521017.91526835284</v>
      </c>
      <c r="BS35" s="61">
        <v>4</v>
      </c>
      <c r="BT35" s="58">
        <v>0</v>
      </c>
    </row>
    <row r="36" spans="1:72" ht="14.45" customHeight="1" x14ac:dyDescent="0.25">
      <c r="A36" s="11">
        <f t="shared" si="0"/>
        <v>32</v>
      </c>
      <c r="B36" s="11">
        <v>4</v>
      </c>
      <c r="C36" s="31">
        <v>0</v>
      </c>
      <c r="D36" s="37">
        <v>4</v>
      </c>
      <c r="E36" s="31">
        <v>5</v>
      </c>
      <c r="F36" s="31">
        <v>25</v>
      </c>
      <c r="G36" s="31">
        <v>15</v>
      </c>
      <c r="H36" s="31">
        <v>15</v>
      </c>
      <c r="I36" s="31">
        <v>240</v>
      </c>
      <c r="J36" s="31">
        <v>12</v>
      </c>
      <c r="K36" s="31">
        <v>-4</v>
      </c>
      <c r="L36" s="15"/>
      <c r="M36" s="15"/>
      <c r="N36" s="15">
        <v>300</v>
      </c>
      <c r="O36" s="15"/>
      <c r="P36" s="15"/>
      <c r="Q36" s="31">
        <v>0</v>
      </c>
      <c r="R36" s="31">
        <v>0</v>
      </c>
      <c r="S36" s="15">
        <v>1200</v>
      </c>
      <c r="T36" s="15">
        <v>1200</v>
      </c>
      <c r="U36" s="15"/>
      <c r="V36" s="15"/>
      <c r="W36" s="30">
        <v>1</v>
      </c>
      <c r="X36" s="30">
        <v>1</v>
      </c>
      <c r="Y36" s="30">
        <v>0</v>
      </c>
      <c r="Z36" s="30">
        <v>0</v>
      </c>
      <c r="AB36" s="20">
        <v>32</v>
      </c>
      <c r="AC36" s="12"/>
      <c r="AD36" s="13"/>
      <c r="AE36" s="14"/>
      <c r="AF36" s="14"/>
      <c r="AG36" s="14"/>
      <c r="AH36" s="12"/>
      <c r="AI36" s="14"/>
      <c r="AJ36" s="14"/>
      <c r="AK36" s="14"/>
      <c r="AL36" s="14"/>
      <c r="AM36" s="12"/>
      <c r="AN36" s="12"/>
      <c r="AO36" s="12"/>
      <c r="AP36" s="12"/>
      <c r="AQ36" s="16"/>
      <c r="AR36" s="16"/>
      <c r="AS36" s="14"/>
      <c r="AT36" s="14"/>
      <c r="AU36" s="14"/>
      <c r="AV36" s="14"/>
      <c r="AW36" s="12"/>
      <c r="AX36" s="12"/>
      <c r="AY36" s="12"/>
      <c r="AZ36" s="12"/>
      <c r="BA36" s="12"/>
      <c r="BB36" s="12"/>
      <c r="BC36" s="12"/>
      <c r="BD36" s="12"/>
      <c r="BE36" s="56">
        <v>0</v>
      </c>
      <c r="BF36" s="57">
        <v>0</v>
      </c>
      <c r="BG36" s="57">
        <v>0</v>
      </c>
      <c r="BH36" s="57">
        <v>0</v>
      </c>
      <c r="BI36" s="57">
        <v>0</v>
      </c>
      <c r="BJ36" s="57">
        <v>22.61362479463337</v>
      </c>
      <c r="BK36" s="57">
        <v>-24574.71309553297</v>
      </c>
      <c r="BL36" s="57">
        <v>10297.925087499996</v>
      </c>
      <c r="BM36" s="57">
        <v>10297.925087499996</v>
      </c>
      <c r="BN36" s="57">
        <v>8.5816042395833314</v>
      </c>
      <c r="BO36" s="57">
        <v>8.5816042395833314</v>
      </c>
      <c r="BP36" s="58">
        <v>-27.386375205366626</v>
      </c>
      <c r="BQ36" s="61">
        <v>23.680235606071431</v>
      </c>
      <c r="BR36" s="58">
        <v>545592.6283638858</v>
      </c>
      <c r="BS36" s="61">
        <v>4</v>
      </c>
      <c r="BT36" s="58">
        <v>0</v>
      </c>
    </row>
  </sheetData>
  <dataConsolidate/>
  <mergeCells count="13">
    <mergeCell ref="W1:Z1"/>
    <mergeCell ref="C1:H1"/>
    <mergeCell ref="I1:K1"/>
    <mergeCell ref="L1:R1"/>
    <mergeCell ref="S1:T1"/>
    <mergeCell ref="U1:V1"/>
    <mergeCell ref="BQ1:BT1"/>
    <mergeCell ref="AC1:AL1"/>
    <mergeCell ref="AM1:AP1"/>
    <mergeCell ref="AQ1:AR1"/>
    <mergeCell ref="AS1:AV1"/>
    <mergeCell ref="AW1:BD1"/>
    <mergeCell ref="BE1:BP1"/>
  </mergeCells>
  <conditionalFormatting sqref="S4:V1048576">
    <cfRule type="cellIs" dxfId="1" priority="2" operator="equal">
      <formula>-999</formula>
    </cfRule>
  </conditionalFormatting>
  <conditionalFormatting sqref="L4:P36">
    <cfRule type="cellIs" dxfId="0" priority="1" operator="equal">
      <formula>-999</formula>
    </cfRule>
  </conditionalFormatting>
  <dataValidations count="1">
    <dataValidation type="list" allowBlank="1" showInputMessage="1" showErrorMessage="1" sqref="B4:B1048576" xr:uid="{3BCEC0B8-8499-4CDB-B37C-9F535C59C0E6}">
      <formula1>"Steady,0,1,2,3,4"</formula1>
    </dataValidation>
  </dataValidations>
  <pageMargins left="0.70866141732283461" right="0.70866141732283461" top="0.74803149606299213" bottom="0.74803149606299213" header="0.31496062992125978" footer="0.31496062992125978"/>
  <pageSetup paperSize="9" scale="77" fitToWidth="0"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Fill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28575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Steady</vt:lpstr>
      <vt:lpstr>Phase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Tjerk Vreeken</dc:creator>
  <cp:lastModifiedBy>Pietje</cp:lastModifiedBy>
  <dcterms:created xsi:type="dcterms:W3CDTF">2019-04-18T13:14:20Z</dcterms:created>
  <dcterms:modified xsi:type="dcterms:W3CDTF">2020-06-09T13:41:51Z</dcterms:modified>
</cp:coreProperties>
</file>